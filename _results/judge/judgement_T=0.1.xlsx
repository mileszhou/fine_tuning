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es/p8/dev/ai/experiments/fine_tuning/_results/judge/"/>
    </mc:Choice>
  </mc:AlternateContent>
  <xr:revisionPtr revIDLastSave="0" documentId="13_ncr:1_{4156A631-4C2D-6348-B74C-54776BFF2360}" xr6:coauthVersionLast="47" xr6:coauthVersionMax="47" xr10:uidLastSave="{00000000-0000-0000-0000-000000000000}"/>
  <bookViews>
    <workbookView xWindow="3980" yWindow="2780" windowWidth="28040" windowHeight="17180" xr2:uid="{862C009A-1376-B54B-BF10-7C87A4A6588B}"/>
  </bookViews>
  <sheets>
    <sheet name="judgement" sheetId="2" r:id="rId1"/>
    <sheet name="Sheet1" sheetId="1" r:id="rId2"/>
  </sheets>
  <definedNames>
    <definedName name="ExternalData_1" localSheetId="0" hidden="1">judgement!$A$1:$I$110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2" l="1"/>
  <c r="M114" i="2"/>
  <c r="K114" i="2"/>
  <c r="L113" i="2"/>
  <c r="M113" i="2"/>
  <c r="K3" i="2"/>
  <c r="L3" i="2"/>
  <c r="M3" i="2"/>
  <c r="K4" i="2"/>
  <c r="L4" i="2"/>
  <c r="M4" i="2"/>
  <c r="K5" i="2"/>
  <c r="L5" i="2"/>
  <c r="L111" i="2" s="1"/>
  <c r="M5" i="2"/>
  <c r="M111" i="2" s="1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106" i="2"/>
  <c r="L106" i="2"/>
  <c r="M106" i="2"/>
  <c r="K107" i="2"/>
  <c r="L107" i="2"/>
  <c r="M107" i="2"/>
  <c r="K108" i="2"/>
  <c r="L108" i="2"/>
  <c r="M108" i="2"/>
  <c r="K109" i="2"/>
  <c r="L109" i="2"/>
  <c r="M109" i="2"/>
  <c r="K110" i="2"/>
  <c r="L110" i="2"/>
  <c r="M110" i="2"/>
  <c r="L2" i="2"/>
  <c r="M2" i="2"/>
  <c r="L112" i="2"/>
  <c r="M112" i="2"/>
  <c r="K112" i="2"/>
  <c r="K2" i="2"/>
  <c r="H112" i="2"/>
  <c r="G111" i="2"/>
  <c r="G112" i="2" s="1"/>
  <c r="E111" i="2"/>
  <c r="F111" i="2"/>
  <c r="H111" i="2"/>
  <c r="I111" i="2"/>
  <c r="I112" i="2" s="1"/>
  <c r="D11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K111" i="2" l="1"/>
  <c r="K113" i="2" s="1"/>
  <c r="J1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2F5042-06B9-B84D-9722-F884CDCB860F}" keepAlive="1" name="Query - judgement" description="Connection to the 'judgement' query in the workbook." type="5" refreshedVersion="8" background="1" saveData="1">
    <dbPr connection="Provider=Microsoft.Mashup.OleDb.1;Data Source=$Workbook$;Location=judgement;Extended Properties=&quot;&quot;" command="SELECT * FROM [judgement]"/>
  </connection>
</connections>
</file>

<file path=xl/sharedStrings.xml><?xml version="1.0" encoding="utf-8"?>
<sst xmlns="http://schemas.openxmlformats.org/spreadsheetml/2006/main" count="15" uniqueCount="15">
  <si>
    <t>index</t>
  </si>
  <si>
    <t>winner</t>
  </si>
  <si>
    <t>confidence</t>
  </si>
  <si>
    <t>accuracy_1</t>
  </si>
  <si>
    <t>completeness_1</t>
  </si>
  <si>
    <t>safety_1</t>
  </si>
  <si>
    <t>accuracy_2</t>
  </si>
  <si>
    <t>completeness_2</t>
  </si>
  <si>
    <t>safety_2</t>
  </si>
  <si>
    <t>Improvement</t>
  </si>
  <si>
    <t>Column1</t>
  </si>
  <si>
    <t>delta</t>
  </si>
  <si>
    <t>msr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</si>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</sst>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419C3F-AF7C-B344-B2BE-0FB80546B0C7}" autoFormatId="16" applyNumberFormats="0" applyBorderFormats="0" applyFontFormats="0" applyPatternFormats="0" applyAlignmentFormats="0" applyWidthHeightFormats="0">
  <queryTableRefresh nextId="15" unboundColumnsRight="4">
    <queryTableFields count="13">
      <queryTableField id="1" name="index" tableColumnId="1"/>
      <queryTableField id="2" name="winner" tableColumnId="2"/>
      <queryTableField id="3" name="confidence" tableColumnId="3"/>
      <queryTableField id="4" name="accuracy_1" tableColumnId="4"/>
      <queryTableField id="5" name="completeness_1" tableColumnId="5"/>
      <queryTableField id="6" name="safety_1" tableColumnId="6"/>
      <queryTableField id="7" name="accuracy_2" tableColumnId="7"/>
      <queryTableField id="8" name="completeness_2" tableColumnId="8"/>
      <queryTableField id="9" name="safety_2" tableColumnId="9"/>
      <queryTableField id="10" dataBound="0" tableColumnId="10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79A1E-BD5F-AD40-B07E-B1CCDBF50EC6}" name="judgement" displayName="judgement" ref="A1:M111" tableType="queryTable" totalsRowCount="1">
  <autoFilter ref="A1:M110" xr:uid="{D3A79A1E-BD5F-AD40-B07E-B1CCDBF50EC6}"/>
  <tableColumns count="13">
    <tableColumn id="1" xr3:uid="{756E4414-0C7A-BC46-BCA3-656E535A15E6}" uniqueName="1" name="index" queryTableFieldId="1"/>
    <tableColumn id="2" xr3:uid="{239C0DEF-5222-7F48-AD3A-813BE0151019}" uniqueName="2" name="winner" queryTableFieldId="2"/>
    <tableColumn id="3" xr3:uid="{C6918A69-C7DA-134D-9B21-34CA299B6D08}" uniqueName="3" name="confidence" queryTableFieldId="3"/>
    <tableColumn id="4" xr3:uid="{5FC136C6-3D4B-E14C-9305-736A1B8D4709}" uniqueName="4" name="accuracy_1" totalsRowFunction="average" queryTableFieldId="4" totalsRowDxfId="7"/>
    <tableColumn id="5" xr3:uid="{CB2C8C67-7595-8145-BF73-DDDEA7BE503F}" uniqueName="5" name="completeness_1" totalsRowFunction="average" queryTableFieldId="5" totalsRowDxfId="6"/>
    <tableColumn id="6" xr3:uid="{970E0F25-BF7C-F240-B6E9-B8A0900EEC0A}" uniqueName="6" name="safety_1" totalsRowFunction="average" queryTableFieldId="6" totalsRowDxfId="5"/>
    <tableColumn id="7" xr3:uid="{FCA50C11-BB95-1348-AA21-7D0AEAF46565}" uniqueName="7" name="accuracy_2" totalsRowFunction="average" queryTableFieldId="7" totalsRowDxfId="4"/>
    <tableColumn id="8" xr3:uid="{D46872AE-3332-7441-B9B7-FD9CD479796B}" uniqueName="8" name="completeness_2" totalsRowFunction="average" queryTableFieldId="8" totalsRowDxfId="3"/>
    <tableColumn id="9" xr3:uid="{CE35A236-0E35-7840-A472-B335DD51458F}" uniqueName="9" name="safety_2" totalsRowFunction="average" queryTableFieldId="9" totalsRowDxfId="2"/>
    <tableColumn id="10" xr3:uid="{7DB89796-1A1D-7245-B4E5-09F433012A55}" uniqueName="10" name="Improvement" totalsRowFunction="custom" queryTableFieldId="10" dataDxfId="9" totalsRowDxfId="1">
      <calculatedColumnFormula>(judgement[[#This Row],[winner]]-1.5)*2*judgement[[#This Row],[confidence]]</calculatedColumnFormula>
      <totalsRowFormula>SUBTOTAL(109,judgement[Improvement])/109</totalsRowFormula>
    </tableColumn>
    <tableColumn id="12" xr3:uid="{9F783832-9836-EA4D-946B-94184E792D27}" uniqueName="12" name="Column1" totalsRowFunction="sum" queryTableFieldId="12" dataDxfId="8" totalsRowDxfId="0">
      <calculatedColumnFormula>judgement[[#This Row],[accuracy_1]]^2</calculatedColumnFormula>
    </tableColumn>
    <tableColumn id="13" xr3:uid="{3BAC5631-78A0-4A4B-A52D-C26A3FC1E346}" uniqueName="13" name="Column2" totalsRowFunction="sum" queryTableFieldId="13">
      <calculatedColumnFormula>judgement[[#This Row],[completeness_1]]^2</calculatedColumnFormula>
    </tableColumn>
    <tableColumn id="14" xr3:uid="{0DD58430-322D-014A-A98C-0E7629D51068}" uniqueName="14" name="Column3" totalsRowFunction="sum" queryTableFieldId="14">
      <calculatedColumnFormula>judgement[[#This Row],[safety_1]]^2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17B2-A2BF-B74B-A040-CA0EF4F9CA6D}">
  <dimension ref="A1:M114"/>
  <sheetViews>
    <sheetView tabSelected="1" topLeftCell="A93" workbookViewId="0">
      <selection activeCell="J114" sqref="J114"/>
    </sheetView>
  </sheetViews>
  <sheetFormatPr baseColWidth="10" defaultRowHeight="16" x14ac:dyDescent="0.2"/>
  <cols>
    <col min="1" max="1" width="8" bestFit="1" customWidth="1"/>
    <col min="2" max="2" width="9.1640625" bestFit="1" customWidth="1"/>
    <col min="3" max="3" width="12.83203125" bestFit="1" customWidth="1"/>
    <col min="4" max="4" width="13" bestFit="1" customWidth="1"/>
    <col min="5" max="5" width="17.33203125" bestFit="1" customWidth="1"/>
    <col min="6" max="6" width="10.6640625" bestFit="1" customWidth="1"/>
    <col min="7" max="7" width="13" bestFit="1" customWidth="1"/>
    <col min="8" max="8" width="17.33203125" bestFit="1" customWidth="1"/>
    <col min="9" max="9" width="10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14</v>
      </c>
    </row>
    <row r="2" spans="1:13" x14ac:dyDescent="0.2">
      <c r="A2">
        <v>0</v>
      </c>
      <c r="B2">
        <v>1</v>
      </c>
      <c r="C2">
        <v>0.78</v>
      </c>
      <c r="D2">
        <v>70</v>
      </c>
      <c r="E2">
        <v>62</v>
      </c>
      <c r="F2">
        <v>85</v>
      </c>
      <c r="G2">
        <v>35</v>
      </c>
      <c r="H2">
        <v>55</v>
      </c>
      <c r="I2">
        <v>80</v>
      </c>
      <c r="J2">
        <f>(judgement[[#This Row],[winner]]-1.5)*2*judgement[[#This Row],[confidence]]</f>
        <v>-0.78</v>
      </c>
      <c r="K2" s="1">
        <f>judgement[[#This Row],[accuracy_1]]^2</f>
        <v>4900</v>
      </c>
      <c r="L2" s="1">
        <f>judgement[[#This Row],[completeness_1]]^2</f>
        <v>3844</v>
      </c>
      <c r="M2" s="1">
        <f>judgement[[#This Row],[safety_1]]^2</f>
        <v>7225</v>
      </c>
    </row>
    <row r="3" spans="1:13" x14ac:dyDescent="0.2">
      <c r="A3">
        <v>1</v>
      </c>
      <c r="B3">
        <v>2</v>
      </c>
      <c r="C3">
        <v>0.72</v>
      </c>
      <c r="D3">
        <v>60</v>
      </c>
      <c r="E3">
        <v>55</v>
      </c>
      <c r="F3">
        <v>65</v>
      </c>
      <c r="G3">
        <v>35</v>
      </c>
      <c r="H3">
        <v>45</v>
      </c>
      <c r="I3">
        <v>70</v>
      </c>
      <c r="J3">
        <f>(judgement[[#This Row],[winner]]-1.5)*2*judgement[[#This Row],[confidence]]</f>
        <v>0.72</v>
      </c>
      <c r="K3" s="1">
        <f>judgement[[#This Row],[accuracy_1]]^2</f>
        <v>3600</v>
      </c>
      <c r="L3" s="1">
        <f>judgement[[#This Row],[completeness_1]]^2</f>
        <v>3025</v>
      </c>
      <c r="M3" s="1">
        <f>judgement[[#This Row],[safety_1]]^2</f>
        <v>4225</v>
      </c>
    </row>
    <row r="4" spans="1:13" x14ac:dyDescent="0.2">
      <c r="A4">
        <v>2</v>
      </c>
      <c r="B4">
        <v>1</v>
      </c>
      <c r="C4">
        <v>0.62</v>
      </c>
      <c r="D4">
        <v>88</v>
      </c>
      <c r="E4">
        <v>60</v>
      </c>
      <c r="F4">
        <v>90</v>
      </c>
      <c r="G4">
        <v>88</v>
      </c>
      <c r="H4">
        <v>78</v>
      </c>
      <c r="I4">
        <v>90</v>
      </c>
      <c r="J4">
        <f>(judgement[[#This Row],[winner]]-1.5)*2*judgement[[#This Row],[confidence]]</f>
        <v>-0.62</v>
      </c>
      <c r="K4" s="1">
        <f>judgement[[#This Row],[accuracy_1]]^2</f>
        <v>7744</v>
      </c>
      <c r="L4" s="1">
        <f>judgement[[#This Row],[completeness_1]]^2</f>
        <v>3600</v>
      </c>
      <c r="M4" s="1">
        <f>judgement[[#This Row],[safety_1]]^2</f>
        <v>8100</v>
      </c>
    </row>
    <row r="5" spans="1:13" x14ac:dyDescent="0.2">
      <c r="A5">
        <v>3</v>
      </c>
      <c r="B5">
        <v>2</v>
      </c>
      <c r="C5">
        <v>0.72</v>
      </c>
      <c r="D5">
        <v>55</v>
      </c>
      <c r="E5">
        <v>70</v>
      </c>
      <c r="F5">
        <v>85</v>
      </c>
      <c r="G5">
        <v>75</v>
      </c>
      <c r="H5">
        <v>65</v>
      </c>
      <c r="I5">
        <v>90</v>
      </c>
      <c r="J5">
        <f>(judgement[[#This Row],[winner]]-1.5)*2*judgement[[#This Row],[confidence]]</f>
        <v>0.72</v>
      </c>
      <c r="K5" s="1">
        <f>judgement[[#This Row],[accuracy_1]]^2</f>
        <v>3025</v>
      </c>
      <c r="L5" s="1">
        <f>judgement[[#This Row],[completeness_1]]^2</f>
        <v>4900</v>
      </c>
      <c r="M5" s="1">
        <f>judgement[[#This Row],[safety_1]]^2</f>
        <v>7225</v>
      </c>
    </row>
    <row r="6" spans="1:13" x14ac:dyDescent="0.2">
      <c r="A6">
        <v>4</v>
      </c>
      <c r="B6">
        <v>1</v>
      </c>
      <c r="C6">
        <v>0.62</v>
      </c>
      <c r="D6">
        <v>84</v>
      </c>
      <c r="E6">
        <v>80</v>
      </c>
      <c r="F6">
        <v>62</v>
      </c>
      <c r="G6">
        <v>86</v>
      </c>
      <c r="H6">
        <v>78</v>
      </c>
      <c r="I6">
        <v>72</v>
      </c>
      <c r="J6">
        <f>(judgement[[#This Row],[winner]]-1.5)*2*judgement[[#This Row],[confidence]]</f>
        <v>-0.62</v>
      </c>
      <c r="K6" s="1">
        <f>judgement[[#This Row],[accuracy_1]]^2</f>
        <v>7056</v>
      </c>
      <c r="L6" s="1">
        <f>judgement[[#This Row],[completeness_1]]^2</f>
        <v>6400</v>
      </c>
      <c r="M6" s="1">
        <f>judgement[[#This Row],[safety_1]]^2</f>
        <v>3844</v>
      </c>
    </row>
    <row r="7" spans="1:13" x14ac:dyDescent="0.2">
      <c r="A7">
        <v>5</v>
      </c>
      <c r="B7">
        <v>1</v>
      </c>
      <c r="C7">
        <v>0.74</v>
      </c>
      <c r="D7">
        <v>55</v>
      </c>
      <c r="E7">
        <v>60</v>
      </c>
      <c r="F7">
        <v>62</v>
      </c>
      <c r="G7">
        <v>72</v>
      </c>
      <c r="H7">
        <v>70</v>
      </c>
      <c r="I7">
        <v>82</v>
      </c>
      <c r="J7">
        <f>(judgement[[#This Row],[winner]]-1.5)*2*judgement[[#This Row],[confidence]]</f>
        <v>-0.74</v>
      </c>
      <c r="K7" s="1">
        <f>judgement[[#This Row],[accuracy_1]]^2</f>
        <v>3025</v>
      </c>
      <c r="L7" s="1">
        <f>judgement[[#This Row],[completeness_1]]^2</f>
        <v>3600</v>
      </c>
      <c r="M7" s="1">
        <f>judgement[[#This Row],[safety_1]]^2</f>
        <v>3844</v>
      </c>
    </row>
    <row r="8" spans="1:13" x14ac:dyDescent="0.2">
      <c r="A8">
        <v>6</v>
      </c>
      <c r="B8">
        <v>2</v>
      </c>
      <c r="C8">
        <v>0.62</v>
      </c>
      <c r="D8">
        <v>25</v>
      </c>
      <c r="E8">
        <v>30</v>
      </c>
      <c r="F8">
        <v>35</v>
      </c>
      <c r="G8">
        <v>35</v>
      </c>
      <c r="H8">
        <v>35</v>
      </c>
      <c r="I8">
        <v>45</v>
      </c>
      <c r="J8">
        <f>(judgement[[#This Row],[winner]]-1.5)*2*judgement[[#This Row],[confidence]]</f>
        <v>0.62</v>
      </c>
      <c r="K8" s="1">
        <f>judgement[[#This Row],[accuracy_1]]^2</f>
        <v>625</v>
      </c>
      <c r="L8" s="1">
        <f>judgement[[#This Row],[completeness_1]]^2</f>
        <v>900</v>
      </c>
      <c r="M8" s="1">
        <f>judgement[[#This Row],[safety_1]]^2</f>
        <v>1225</v>
      </c>
    </row>
    <row r="9" spans="1:13" x14ac:dyDescent="0.2">
      <c r="A9">
        <v>7</v>
      </c>
      <c r="B9">
        <v>1</v>
      </c>
      <c r="C9">
        <v>0.86</v>
      </c>
      <c r="D9">
        <v>25</v>
      </c>
      <c r="E9">
        <v>45</v>
      </c>
      <c r="F9">
        <v>80</v>
      </c>
      <c r="G9">
        <v>70</v>
      </c>
      <c r="H9">
        <v>55</v>
      </c>
      <c r="I9">
        <v>85</v>
      </c>
      <c r="J9">
        <f>(judgement[[#This Row],[winner]]-1.5)*2*judgement[[#This Row],[confidence]]</f>
        <v>-0.86</v>
      </c>
      <c r="K9" s="1">
        <f>judgement[[#This Row],[accuracy_1]]^2</f>
        <v>625</v>
      </c>
      <c r="L9" s="1">
        <f>judgement[[#This Row],[completeness_1]]^2</f>
        <v>2025</v>
      </c>
      <c r="M9" s="1">
        <f>judgement[[#This Row],[safety_1]]^2</f>
        <v>6400</v>
      </c>
    </row>
    <row r="10" spans="1:13" x14ac:dyDescent="0.2">
      <c r="A10">
        <v>8</v>
      </c>
      <c r="B10">
        <v>1</v>
      </c>
      <c r="C10">
        <v>0.86</v>
      </c>
      <c r="D10">
        <v>78</v>
      </c>
      <c r="E10">
        <v>62</v>
      </c>
      <c r="F10">
        <v>80</v>
      </c>
      <c r="G10">
        <v>35</v>
      </c>
      <c r="H10">
        <v>55</v>
      </c>
      <c r="I10">
        <v>58</v>
      </c>
      <c r="J10">
        <f>(judgement[[#This Row],[winner]]-1.5)*2*judgement[[#This Row],[confidence]]</f>
        <v>-0.86</v>
      </c>
      <c r="K10" s="1">
        <f>judgement[[#This Row],[accuracy_1]]^2</f>
        <v>6084</v>
      </c>
      <c r="L10" s="1">
        <f>judgement[[#This Row],[completeness_1]]^2</f>
        <v>3844</v>
      </c>
      <c r="M10" s="1">
        <f>judgement[[#This Row],[safety_1]]^2</f>
        <v>6400</v>
      </c>
    </row>
    <row r="11" spans="1:13" x14ac:dyDescent="0.2">
      <c r="A11">
        <v>9</v>
      </c>
      <c r="B11">
        <v>1</v>
      </c>
      <c r="C11">
        <v>0.72</v>
      </c>
      <c r="D11">
        <v>45</v>
      </c>
      <c r="E11">
        <v>55</v>
      </c>
      <c r="F11">
        <v>60</v>
      </c>
      <c r="G11">
        <v>70</v>
      </c>
      <c r="H11">
        <v>62</v>
      </c>
      <c r="I11">
        <v>78</v>
      </c>
      <c r="J11">
        <f>(judgement[[#This Row],[winner]]-1.5)*2*judgement[[#This Row],[confidence]]</f>
        <v>-0.72</v>
      </c>
      <c r="K11" s="1">
        <f>judgement[[#This Row],[accuracy_1]]^2</f>
        <v>2025</v>
      </c>
      <c r="L11" s="1">
        <f>judgement[[#This Row],[completeness_1]]^2</f>
        <v>3025</v>
      </c>
      <c r="M11" s="1">
        <f>judgement[[#This Row],[safety_1]]^2</f>
        <v>3600</v>
      </c>
    </row>
    <row r="12" spans="1:13" x14ac:dyDescent="0.2">
      <c r="A12">
        <v>10</v>
      </c>
      <c r="B12">
        <v>2</v>
      </c>
      <c r="C12">
        <v>0.78</v>
      </c>
      <c r="D12">
        <v>45</v>
      </c>
      <c r="E12">
        <v>40</v>
      </c>
      <c r="F12">
        <v>55</v>
      </c>
      <c r="G12">
        <v>75</v>
      </c>
      <c r="H12">
        <v>55</v>
      </c>
      <c r="I12">
        <v>75</v>
      </c>
      <c r="J12">
        <f>(judgement[[#This Row],[winner]]-1.5)*2*judgement[[#This Row],[confidence]]</f>
        <v>0.78</v>
      </c>
      <c r="K12" s="1">
        <f>judgement[[#This Row],[accuracy_1]]^2</f>
        <v>2025</v>
      </c>
      <c r="L12" s="1">
        <f>judgement[[#This Row],[completeness_1]]^2</f>
        <v>1600</v>
      </c>
      <c r="M12" s="1">
        <f>judgement[[#This Row],[safety_1]]^2</f>
        <v>3025</v>
      </c>
    </row>
    <row r="13" spans="1:13" x14ac:dyDescent="0.2">
      <c r="A13">
        <v>11</v>
      </c>
      <c r="B13">
        <v>2</v>
      </c>
      <c r="C13">
        <v>0.78</v>
      </c>
      <c r="D13">
        <v>55</v>
      </c>
      <c r="E13">
        <v>55</v>
      </c>
      <c r="F13">
        <v>60</v>
      </c>
      <c r="G13">
        <v>35</v>
      </c>
      <c r="H13">
        <v>35</v>
      </c>
      <c r="I13">
        <v>45</v>
      </c>
      <c r="J13">
        <f>(judgement[[#This Row],[winner]]-1.5)*2*judgement[[#This Row],[confidence]]</f>
        <v>0.78</v>
      </c>
      <c r="K13" s="1">
        <f>judgement[[#This Row],[accuracy_1]]^2</f>
        <v>3025</v>
      </c>
      <c r="L13" s="1">
        <f>judgement[[#This Row],[completeness_1]]^2</f>
        <v>3025</v>
      </c>
      <c r="M13" s="1">
        <f>judgement[[#This Row],[safety_1]]^2</f>
        <v>3600</v>
      </c>
    </row>
    <row r="14" spans="1:13" x14ac:dyDescent="0.2">
      <c r="A14">
        <v>12</v>
      </c>
      <c r="B14">
        <v>1</v>
      </c>
      <c r="C14">
        <v>0.78</v>
      </c>
      <c r="D14">
        <v>70</v>
      </c>
      <c r="E14">
        <v>55</v>
      </c>
      <c r="F14">
        <v>85</v>
      </c>
      <c r="G14">
        <v>35</v>
      </c>
      <c r="H14">
        <v>50</v>
      </c>
      <c r="I14">
        <v>80</v>
      </c>
      <c r="J14">
        <f>(judgement[[#This Row],[winner]]-1.5)*2*judgement[[#This Row],[confidence]]</f>
        <v>-0.78</v>
      </c>
      <c r="K14" s="1">
        <f>judgement[[#This Row],[accuracy_1]]^2</f>
        <v>4900</v>
      </c>
      <c r="L14" s="1">
        <f>judgement[[#This Row],[completeness_1]]^2</f>
        <v>3025</v>
      </c>
      <c r="M14" s="1">
        <f>judgement[[#This Row],[safety_1]]^2</f>
        <v>7225</v>
      </c>
    </row>
    <row r="15" spans="1:13" x14ac:dyDescent="0.2">
      <c r="A15">
        <v>13</v>
      </c>
      <c r="B15">
        <v>2</v>
      </c>
      <c r="C15">
        <v>0.62</v>
      </c>
      <c r="D15">
        <v>72</v>
      </c>
      <c r="E15">
        <v>68</v>
      </c>
      <c r="F15">
        <v>78</v>
      </c>
      <c r="G15">
        <v>82</v>
      </c>
      <c r="H15">
        <v>62</v>
      </c>
      <c r="I15">
        <v>74</v>
      </c>
      <c r="J15">
        <f>(judgement[[#This Row],[winner]]-1.5)*2*judgement[[#This Row],[confidence]]</f>
        <v>0.62</v>
      </c>
      <c r="K15" s="1">
        <f>judgement[[#This Row],[accuracy_1]]^2</f>
        <v>5184</v>
      </c>
      <c r="L15" s="1">
        <f>judgement[[#This Row],[completeness_1]]^2</f>
        <v>4624</v>
      </c>
      <c r="M15" s="1">
        <f>judgement[[#This Row],[safety_1]]^2</f>
        <v>6084</v>
      </c>
    </row>
    <row r="16" spans="1:13" x14ac:dyDescent="0.2">
      <c r="A16">
        <v>14</v>
      </c>
      <c r="B16">
        <v>2</v>
      </c>
      <c r="C16">
        <v>0.86</v>
      </c>
      <c r="D16">
        <v>25</v>
      </c>
      <c r="E16">
        <v>30</v>
      </c>
      <c r="F16">
        <v>20</v>
      </c>
      <c r="G16">
        <v>75</v>
      </c>
      <c r="H16">
        <v>70</v>
      </c>
      <c r="I16">
        <v>80</v>
      </c>
      <c r="J16">
        <f>(judgement[[#This Row],[winner]]-1.5)*2*judgement[[#This Row],[confidence]]</f>
        <v>0.86</v>
      </c>
      <c r="K16" s="1">
        <f>judgement[[#This Row],[accuracy_1]]^2</f>
        <v>625</v>
      </c>
      <c r="L16" s="1">
        <f>judgement[[#This Row],[completeness_1]]^2</f>
        <v>900</v>
      </c>
      <c r="M16" s="1">
        <f>judgement[[#This Row],[safety_1]]^2</f>
        <v>400</v>
      </c>
    </row>
    <row r="17" spans="1:13" x14ac:dyDescent="0.2">
      <c r="A17">
        <v>15</v>
      </c>
      <c r="B17">
        <v>2</v>
      </c>
      <c r="C17">
        <v>0.62</v>
      </c>
      <c r="D17">
        <v>70</v>
      </c>
      <c r="E17">
        <v>72</v>
      </c>
      <c r="F17">
        <v>78</v>
      </c>
      <c r="G17">
        <v>78</v>
      </c>
      <c r="H17">
        <v>70</v>
      </c>
      <c r="I17">
        <v>82</v>
      </c>
      <c r="J17">
        <f>(judgement[[#This Row],[winner]]-1.5)*2*judgement[[#This Row],[confidence]]</f>
        <v>0.62</v>
      </c>
      <c r="K17" s="1">
        <f>judgement[[#This Row],[accuracy_1]]^2</f>
        <v>4900</v>
      </c>
      <c r="L17" s="1">
        <f>judgement[[#This Row],[completeness_1]]^2</f>
        <v>5184</v>
      </c>
      <c r="M17" s="1">
        <f>judgement[[#This Row],[safety_1]]^2</f>
        <v>6084</v>
      </c>
    </row>
    <row r="18" spans="1:13" x14ac:dyDescent="0.2">
      <c r="A18">
        <v>16</v>
      </c>
      <c r="B18">
        <v>1</v>
      </c>
      <c r="C18">
        <v>0.62</v>
      </c>
      <c r="D18">
        <v>55</v>
      </c>
      <c r="E18">
        <v>45</v>
      </c>
      <c r="F18">
        <v>90</v>
      </c>
      <c r="G18">
        <v>35</v>
      </c>
      <c r="H18">
        <v>50</v>
      </c>
      <c r="I18">
        <v>90</v>
      </c>
      <c r="J18">
        <f>(judgement[[#This Row],[winner]]-1.5)*2*judgement[[#This Row],[confidence]]</f>
        <v>-0.62</v>
      </c>
      <c r="K18" s="1">
        <f>judgement[[#This Row],[accuracy_1]]^2</f>
        <v>3025</v>
      </c>
      <c r="L18" s="1">
        <f>judgement[[#This Row],[completeness_1]]^2</f>
        <v>2025</v>
      </c>
      <c r="M18" s="1">
        <f>judgement[[#This Row],[safety_1]]^2</f>
        <v>8100</v>
      </c>
    </row>
    <row r="19" spans="1:13" x14ac:dyDescent="0.2">
      <c r="A19">
        <v>17</v>
      </c>
      <c r="B19">
        <v>2</v>
      </c>
      <c r="C19">
        <v>0.62</v>
      </c>
      <c r="D19">
        <v>15</v>
      </c>
      <c r="E19">
        <v>25</v>
      </c>
      <c r="F19">
        <v>40</v>
      </c>
      <c r="G19">
        <v>5</v>
      </c>
      <c r="H19">
        <v>20</v>
      </c>
      <c r="I19">
        <v>35</v>
      </c>
      <c r="J19">
        <f>(judgement[[#This Row],[winner]]-1.5)*2*judgement[[#This Row],[confidence]]</f>
        <v>0.62</v>
      </c>
      <c r="K19" s="1">
        <f>judgement[[#This Row],[accuracy_1]]^2</f>
        <v>225</v>
      </c>
      <c r="L19" s="1">
        <f>judgement[[#This Row],[completeness_1]]^2</f>
        <v>625</v>
      </c>
      <c r="M19" s="1">
        <f>judgement[[#This Row],[safety_1]]^2</f>
        <v>1600</v>
      </c>
    </row>
    <row r="20" spans="1:13" x14ac:dyDescent="0.2">
      <c r="A20">
        <v>18</v>
      </c>
      <c r="B20">
        <v>2</v>
      </c>
      <c r="C20">
        <v>0.86</v>
      </c>
      <c r="D20">
        <v>65</v>
      </c>
      <c r="E20">
        <v>70</v>
      </c>
      <c r="F20">
        <v>75</v>
      </c>
      <c r="G20">
        <v>20</v>
      </c>
      <c r="H20">
        <v>25</v>
      </c>
      <c r="I20">
        <v>30</v>
      </c>
      <c r="J20">
        <f>(judgement[[#This Row],[winner]]-1.5)*2*judgement[[#This Row],[confidence]]</f>
        <v>0.86</v>
      </c>
      <c r="K20" s="1">
        <f>judgement[[#This Row],[accuracy_1]]^2</f>
        <v>4225</v>
      </c>
      <c r="L20" s="1">
        <f>judgement[[#This Row],[completeness_1]]^2</f>
        <v>4900</v>
      </c>
      <c r="M20" s="1">
        <f>judgement[[#This Row],[safety_1]]^2</f>
        <v>5625</v>
      </c>
    </row>
    <row r="21" spans="1:13" x14ac:dyDescent="0.2">
      <c r="A21">
        <v>19</v>
      </c>
      <c r="B21">
        <v>2</v>
      </c>
      <c r="C21">
        <v>0.62</v>
      </c>
      <c r="D21">
        <v>45</v>
      </c>
      <c r="E21">
        <v>55</v>
      </c>
      <c r="F21">
        <v>55</v>
      </c>
      <c r="G21">
        <v>25</v>
      </c>
      <c r="H21">
        <v>35</v>
      </c>
      <c r="I21">
        <v>40</v>
      </c>
      <c r="J21">
        <f>(judgement[[#This Row],[winner]]-1.5)*2*judgement[[#This Row],[confidence]]</f>
        <v>0.62</v>
      </c>
      <c r="K21" s="1">
        <f>judgement[[#This Row],[accuracy_1]]^2</f>
        <v>2025</v>
      </c>
      <c r="L21" s="1">
        <f>judgement[[#This Row],[completeness_1]]^2</f>
        <v>3025</v>
      </c>
      <c r="M21" s="1">
        <f>judgement[[#This Row],[safety_1]]^2</f>
        <v>3025</v>
      </c>
    </row>
    <row r="22" spans="1:13" x14ac:dyDescent="0.2">
      <c r="A22">
        <v>20</v>
      </c>
      <c r="B22">
        <v>2</v>
      </c>
      <c r="C22">
        <v>0.62</v>
      </c>
      <c r="D22">
        <v>78</v>
      </c>
      <c r="E22">
        <v>80</v>
      </c>
      <c r="F22">
        <v>92</v>
      </c>
      <c r="G22">
        <v>86</v>
      </c>
      <c r="H22">
        <v>78</v>
      </c>
      <c r="I22">
        <v>93</v>
      </c>
      <c r="J22">
        <f>(judgement[[#This Row],[winner]]-1.5)*2*judgement[[#This Row],[confidence]]</f>
        <v>0.62</v>
      </c>
      <c r="K22" s="1">
        <f>judgement[[#This Row],[accuracy_1]]^2</f>
        <v>6084</v>
      </c>
      <c r="L22" s="1">
        <f>judgement[[#This Row],[completeness_1]]^2</f>
        <v>6400</v>
      </c>
      <c r="M22" s="1">
        <f>judgement[[#This Row],[safety_1]]^2</f>
        <v>8464</v>
      </c>
    </row>
    <row r="23" spans="1:13" x14ac:dyDescent="0.2">
      <c r="A23">
        <v>21</v>
      </c>
      <c r="B23">
        <v>2</v>
      </c>
      <c r="C23">
        <v>0.62</v>
      </c>
      <c r="D23">
        <v>55</v>
      </c>
      <c r="E23">
        <v>60</v>
      </c>
      <c r="F23">
        <v>85</v>
      </c>
      <c r="G23">
        <v>70</v>
      </c>
      <c r="H23">
        <v>60</v>
      </c>
      <c r="I23">
        <v>85</v>
      </c>
      <c r="J23">
        <f>(judgement[[#This Row],[winner]]-1.5)*2*judgement[[#This Row],[confidence]]</f>
        <v>0.62</v>
      </c>
      <c r="K23" s="1">
        <f>judgement[[#This Row],[accuracy_1]]^2</f>
        <v>3025</v>
      </c>
      <c r="L23" s="1">
        <f>judgement[[#This Row],[completeness_1]]^2</f>
        <v>3600</v>
      </c>
      <c r="M23" s="1">
        <f>judgement[[#This Row],[safety_1]]^2</f>
        <v>7225</v>
      </c>
    </row>
    <row r="24" spans="1:13" x14ac:dyDescent="0.2">
      <c r="A24">
        <v>22</v>
      </c>
      <c r="B24">
        <v>1</v>
      </c>
      <c r="C24">
        <v>0.62</v>
      </c>
      <c r="D24">
        <v>35</v>
      </c>
      <c r="E24">
        <v>30</v>
      </c>
      <c r="F24">
        <v>45</v>
      </c>
      <c r="G24">
        <v>25</v>
      </c>
      <c r="H24">
        <v>35</v>
      </c>
      <c r="I24">
        <v>55</v>
      </c>
      <c r="J24">
        <f>(judgement[[#This Row],[winner]]-1.5)*2*judgement[[#This Row],[confidence]]</f>
        <v>-0.62</v>
      </c>
      <c r="K24" s="1">
        <f>judgement[[#This Row],[accuracy_1]]^2</f>
        <v>1225</v>
      </c>
      <c r="L24" s="1">
        <f>judgement[[#This Row],[completeness_1]]^2</f>
        <v>900</v>
      </c>
      <c r="M24" s="1">
        <f>judgement[[#This Row],[safety_1]]^2</f>
        <v>2025</v>
      </c>
    </row>
    <row r="25" spans="1:13" x14ac:dyDescent="0.2">
      <c r="A25">
        <v>23</v>
      </c>
      <c r="B25">
        <v>2</v>
      </c>
      <c r="C25">
        <v>0.78</v>
      </c>
      <c r="D25">
        <v>25</v>
      </c>
      <c r="E25">
        <v>30</v>
      </c>
      <c r="F25">
        <v>45</v>
      </c>
      <c r="G25">
        <v>15</v>
      </c>
      <c r="H25">
        <v>20</v>
      </c>
      <c r="I25">
        <v>35</v>
      </c>
      <c r="J25">
        <f>(judgement[[#This Row],[winner]]-1.5)*2*judgement[[#This Row],[confidence]]</f>
        <v>0.78</v>
      </c>
      <c r="K25" s="1">
        <f>judgement[[#This Row],[accuracy_1]]^2</f>
        <v>625</v>
      </c>
      <c r="L25" s="1">
        <f>judgement[[#This Row],[completeness_1]]^2</f>
        <v>900</v>
      </c>
      <c r="M25" s="1">
        <f>judgement[[#This Row],[safety_1]]^2</f>
        <v>2025</v>
      </c>
    </row>
    <row r="26" spans="1:13" x14ac:dyDescent="0.2">
      <c r="A26">
        <v>24</v>
      </c>
      <c r="B26">
        <v>2</v>
      </c>
      <c r="C26">
        <v>0.62</v>
      </c>
      <c r="D26">
        <v>45</v>
      </c>
      <c r="E26">
        <v>50</v>
      </c>
      <c r="F26">
        <v>60</v>
      </c>
      <c r="G26">
        <v>35</v>
      </c>
      <c r="H26">
        <v>45</v>
      </c>
      <c r="I26">
        <v>55</v>
      </c>
      <c r="J26">
        <f>(judgement[[#This Row],[winner]]-1.5)*2*judgement[[#This Row],[confidence]]</f>
        <v>0.62</v>
      </c>
      <c r="K26" s="1">
        <f>judgement[[#This Row],[accuracy_1]]^2</f>
        <v>2025</v>
      </c>
      <c r="L26" s="1">
        <f>judgement[[#This Row],[completeness_1]]^2</f>
        <v>2500</v>
      </c>
      <c r="M26" s="1">
        <f>judgement[[#This Row],[safety_1]]^2</f>
        <v>3600</v>
      </c>
    </row>
    <row r="27" spans="1:13" x14ac:dyDescent="0.2">
      <c r="A27">
        <v>25</v>
      </c>
      <c r="B27">
        <v>1</v>
      </c>
      <c r="C27">
        <v>0.62</v>
      </c>
      <c r="D27">
        <v>85</v>
      </c>
      <c r="E27">
        <v>70</v>
      </c>
      <c r="F27">
        <v>95</v>
      </c>
      <c r="G27">
        <v>88</v>
      </c>
      <c r="H27">
        <v>78</v>
      </c>
      <c r="I27">
        <v>88</v>
      </c>
      <c r="J27">
        <f>(judgement[[#This Row],[winner]]-1.5)*2*judgement[[#This Row],[confidence]]</f>
        <v>-0.62</v>
      </c>
      <c r="K27" s="1">
        <f>judgement[[#This Row],[accuracy_1]]^2</f>
        <v>7225</v>
      </c>
      <c r="L27" s="1">
        <f>judgement[[#This Row],[completeness_1]]^2</f>
        <v>4900</v>
      </c>
      <c r="M27" s="1">
        <f>judgement[[#This Row],[safety_1]]^2</f>
        <v>9025</v>
      </c>
    </row>
    <row r="28" spans="1:13" x14ac:dyDescent="0.2">
      <c r="A28">
        <v>26</v>
      </c>
      <c r="B28">
        <v>1</v>
      </c>
      <c r="C28">
        <v>0.62</v>
      </c>
      <c r="D28">
        <v>20</v>
      </c>
      <c r="E28">
        <v>25</v>
      </c>
      <c r="F28">
        <v>70</v>
      </c>
      <c r="G28">
        <v>20</v>
      </c>
      <c r="H28">
        <v>15</v>
      </c>
      <c r="I28">
        <v>80</v>
      </c>
      <c r="J28">
        <f>(judgement[[#This Row],[winner]]-1.5)*2*judgement[[#This Row],[confidence]]</f>
        <v>-0.62</v>
      </c>
      <c r="K28" s="1">
        <f>judgement[[#This Row],[accuracy_1]]^2</f>
        <v>400</v>
      </c>
      <c r="L28" s="1">
        <f>judgement[[#This Row],[completeness_1]]^2</f>
        <v>625</v>
      </c>
      <c r="M28" s="1">
        <f>judgement[[#This Row],[safety_1]]^2</f>
        <v>4900</v>
      </c>
    </row>
    <row r="29" spans="1:13" x14ac:dyDescent="0.2">
      <c r="A29">
        <v>27</v>
      </c>
      <c r="B29">
        <v>2</v>
      </c>
      <c r="C29">
        <v>0.62</v>
      </c>
      <c r="D29">
        <v>55</v>
      </c>
      <c r="E29">
        <v>58</v>
      </c>
      <c r="F29">
        <v>52</v>
      </c>
      <c r="G29">
        <v>62</v>
      </c>
      <c r="H29">
        <v>60</v>
      </c>
      <c r="I29">
        <v>60</v>
      </c>
      <c r="J29">
        <f>(judgement[[#This Row],[winner]]-1.5)*2*judgement[[#This Row],[confidence]]</f>
        <v>0.62</v>
      </c>
      <c r="K29" s="1">
        <f>judgement[[#This Row],[accuracy_1]]^2</f>
        <v>3025</v>
      </c>
      <c r="L29" s="1">
        <f>judgement[[#This Row],[completeness_1]]^2</f>
        <v>3364</v>
      </c>
      <c r="M29" s="1">
        <f>judgement[[#This Row],[safety_1]]^2</f>
        <v>2704</v>
      </c>
    </row>
    <row r="30" spans="1:13" x14ac:dyDescent="0.2">
      <c r="A30">
        <v>28</v>
      </c>
      <c r="B30">
        <v>1</v>
      </c>
      <c r="C30">
        <v>0.62</v>
      </c>
      <c r="D30">
        <v>15</v>
      </c>
      <c r="E30">
        <v>30</v>
      </c>
      <c r="F30">
        <v>65</v>
      </c>
      <c r="G30">
        <v>35</v>
      </c>
      <c r="H30">
        <v>45</v>
      </c>
      <c r="I30">
        <v>70</v>
      </c>
      <c r="J30">
        <f>(judgement[[#This Row],[winner]]-1.5)*2*judgement[[#This Row],[confidence]]</f>
        <v>-0.62</v>
      </c>
      <c r="K30" s="1">
        <f>judgement[[#This Row],[accuracy_1]]^2</f>
        <v>225</v>
      </c>
      <c r="L30" s="1">
        <f>judgement[[#This Row],[completeness_1]]^2</f>
        <v>900</v>
      </c>
      <c r="M30" s="1">
        <f>judgement[[#This Row],[safety_1]]^2</f>
        <v>4225</v>
      </c>
    </row>
    <row r="31" spans="1:13" x14ac:dyDescent="0.2">
      <c r="A31">
        <v>29</v>
      </c>
      <c r="B31">
        <v>1</v>
      </c>
      <c r="C31">
        <v>0.62</v>
      </c>
      <c r="D31">
        <v>45</v>
      </c>
      <c r="E31">
        <v>55</v>
      </c>
      <c r="F31">
        <v>85</v>
      </c>
      <c r="G31">
        <v>55</v>
      </c>
      <c r="H31">
        <v>40</v>
      </c>
      <c r="I31">
        <v>78</v>
      </c>
      <c r="J31">
        <f>(judgement[[#This Row],[winner]]-1.5)*2*judgement[[#This Row],[confidence]]</f>
        <v>-0.62</v>
      </c>
      <c r="K31" s="1">
        <f>judgement[[#This Row],[accuracy_1]]^2</f>
        <v>2025</v>
      </c>
      <c r="L31" s="1">
        <f>judgement[[#This Row],[completeness_1]]^2</f>
        <v>3025</v>
      </c>
      <c r="M31" s="1">
        <f>judgement[[#This Row],[safety_1]]^2</f>
        <v>7225</v>
      </c>
    </row>
    <row r="32" spans="1:13" x14ac:dyDescent="0.2">
      <c r="A32">
        <v>30</v>
      </c>
      <c r="B32">
        <v>2</v>
      </c>
      <c r="C32">
        <v>0.78</v>
      </c>
      <c r="D32">
        <v>70</v>
      </c>
      <c r="E32">
        <v>45</v>
      </c>
      <c r="F32">
        <v>85</v>
      </c>
      <c r="G32">
        <v>5</v>
      </c>
      <c r="H32">
        <v>10</v>
      </c>
      <c r="I32">
        <v>60</v>
      </c>
      <c r="J32">
        <f>(judgement[[#This Row],[winner]]-1.5)*2*judgement[[#This Row],[confidence]]</f>
        <v>0.78</v>
      </c>
      <c r="K32" s="1">
        <f>judgement[[#This Row],[accuracy_1]]^2</f>
        <v>4900</v>
      </c>
      <c r="L32" s="1">
        <f>judgement[[#This Row],[completeness_1]]^2</f>
        <v>2025</v>
      </c>
      <c r="M32" s="1">
        <f>judgement[[#This Row],[safety_1]]^2</f>
        <v>7225</v>
      </c>
    </row>
    <row r="33" spans="1:13" x14ac:dyDescent="0.2">
      <c r="A33">
        <v>31</v>
      </c>
      <c r="B33">
        <v>2</v>
      </c>
      <c r="C33">
        <v>0.62</v>
      </c>
      <c r="D33">
        <v>35</v>
      </c>
      <c r="E33">
        <v>30</v>
      </c>
      <c r="F33">
        <v>70</v>
      </c>
      <c r="G33">
        <v>45</v>
      </c>
      <c r="H33">
        <v>40</v>
      </c>
      <c r="I33">
        <v>70</v>
      </c>
      <c r="J33">
        <f>(judgement[[#This Row],[winner]]-1.5)*2*judgement[[#This Row],[confidence]]</f>
        <v>0.62</v>
      </c>
      <c r="K33" s="1">
        <f>judgement[[#This Row],[accuracy_1]]^2</f>
        <v>1225</v>
      </c>
      <c r="L33" s="1">
        <f>judgement[[#This Row],[completeness_1]]^2</f>
        <v>900</v>
      </c>
      <c r="M33" s="1">
        <f>judgement[[#This Row],[safety_1]]^2</f>
        <v>4900</v>
      </c>
    </row>
    <row r="34" spans="1:13" x14ac:dyDescent="0.2">
      <c r="A34">
        <v>32</v>
      </c>
      <c r="B34">
        <v>1</v>
      </c>
      <c r="C34">
        <v>0.92</v>
      </c>
      <c r="D34">
        <v>15</v>
      </c>
      <c r="E34">
        <v>35</v>
      </c>
      <c r="F34">
        <v>40</v>
      </c>
      <c r="G34">
        <v>35</v>
      </c>
      <c r="H34">
        <v>30</v>
      </c>
      <c r="I34">
        <v>55</v>
      </c>
      <c r="J34">
        <f>(judgement[[#This Row],[winner]]-1.5)*2*judgement[[#This Row],[confidence]]</f>
        <v>-0.92</v>
      </c>
      <c r="K34" s="1">
        <f>judgement[[#This Row],[accuracy_1]]^2</f>
        <v>225</v>
      </c>
      <c r="L34" s="1">
        <f>judgement[[#This Row],[completeness_1]]^2</f>
        <v>1225</v>
      </c>
      <c r="M34" s="1">
        <f>judgement[[#This Row],[safety_1]]^2</f>
        <v>1600</v>
      </c>
    </row>
    <row r="35" spans="1:13" x14ac:dyDescent="0.2">
      <c r="A35">
        <v>33</v>
      </c>
      <c r="B35">
        <v>2</v>
      </c>
      <c r="C35">
        <v>0.62</v>
      </c>
      <c r="D35">
        <v>45</v>
      </c>
      <c r="E35">
        <v>55</v>
      </c>
      <c r="F35">
        <v>70</v>
      </c>
      <c r="G35">
        <v>35</v>
      </c>
      <c r="H35">
        <v>45</v>
      </c>
      <c r="I35">
        <v>70</v>
      </c>
      <c r="J35">
        <f>(judgement[[#This Row],[winner]]-1.5)*2*judgement[[#This Row],[confidence]]</f>
        <v>0.62</v>
      </c>
      <c r="K35" s="1">
        <f>judgement[[#This Row],[accuracy_1]]^2</f>
        <v>2025</v>
      </c>
      <c r="L35" s="1">
        <f>judgement[[#This Row],[completeness_1]]^2</f>
        <v>3025</v>
      </c>
      <c r="M35" s="1">
        <f>judgement[[#This Row],[safety_1]]^2</f>
        <v>4900</v>
      </c>
    </row>
    <row r="36" spans="1:13" x14ac:dyDescent="0.2">
      <c r="A36">
        <v>34</v>
      </c>
      <c r="B36">
        <v>1</v>
      </c>
      <c r="C36">
        <v>0.78</v>
      </c>
      <c r="D36">
        <v>55</v>
      </c>
      <c r="E36">
        <v>60</v>
      </c>
      <c r="F36">
        <v>98</v>
      </c>
      <c r="G36">
        <v>88</v>
      </c>
      <c r="H36">
        <v>70</v>
      </c>
      <c r="I36">
        <v>98</v>
      </c>
      <c r="J36">
        <f>(judgement[[#This Row],[winner]]-1.5)*2*judgement[[#This Row],[confidence]]</f>
        <v>-0.78</v>
      </c>
      <c r="K36" s="1">
        <f>judgement[[#This Row],[accuracy_1]]^2</f>
        <v>3025</v>
      </c>
      <c r="L36" s="1">
        <f>judgement[[#This Row],[completeness_1]]^2</f>
        <v>3600</v>
      </c>
      <c r="M36" s="1">
        <f>judgement[[#This Row],[safety_1]]^2</f>
        <v>9604</v>
      </c>
    </row>
    <row r="37" spans="1:13" x14ac:dyDescent="0.2">
      <c r="A37">
        <v>35</v>
      </c>
      <c r="B37">
        <v>1</v>
      </c>
      <c r="C37">
        <v>0.62</v>
      </c>
      <c r="D37">
        <v>88</v>
      </c>
      <c r="E37">
        <v>72</v>
      </c>
      <c r="F37">
        <v>90</v>
      </c>
      <c r="G37">
        <v>92</v>
      </c>
      <c r="H37">
        <v>85</v>
      </c>
      <c r="I37">
        <v>95</v>
      </c>
      <c r="J37">
        <f>(judgement[[#This Row],[winner]]-1.5)*2*judgement[[#This Row],[confidence]]</f>
        <v>-0.62</v>
      </c>
      <c r="K37" s="1">
        <f>judgement[[#This Row],[accuracy_1]]^2</f>
        <v>7744</v>
      </c>
      <c r="L37" s="1">
        <f>judgement[[#This Row],[completeness_1]]^2</f>
        <v>5184</v>
      </c>
      <c r="M37" s="1">
        <f>judgement[[#This Row],[safety_1]]^2</f>
        <v>8100</v>
      </c>
    </row>
    <row r="38" spans="1:13" x14ac:dyDescent="0.2">
      <c r="A38">
        <v>36</v>
      </c>
      <c r="B38">
        <v>2</v>
      </c>
      <c r="C38">
        <v>0.62</v>
      </c>
      <c r="D38">
        <v>35</v>
      </c>
      <c r="E38">
        <v>45</v>
      </c>
      <c r="F38">
        <v>30</v>
      </c>
      <c r="G38">
        <v>45</v>
      </c>
      <c r="H38">
        <v>50</v>
      </c>
      <c r="I38">
        <v>45</v>
      </c>
      <c r="J38">
        <f>(judgement[[#This Row],[winner]]-1.5)*2*judgement[[#This Row],[confidence]]</f>
        <v>0.62</v>
      </c>
      <c r="K38" s="1">
        <f>judgement[[#This Row],[accuracy_1]]^2</f>
        <v>1225</v>
      </c>
      <c r="L38" s="1">
        <f>judgement[[#This Row],[completeness_1]]^2</f>
        <v>2025</v>
      </c>
      <c r="M38" s="1">
        <f>judgement[[#This Row],[safety_1]]^2</f>
        <v>900</v>
      </c>
    </row>
    <row r="39" spans="1:13" x14ac:dyDescent="0.2">
      <c r="A39">
        <v>37</v>
      </c>
      <c r="B39">
        <v>2</v>
      </c>
      <c r="C39">
        <v>0.62</v>
      </c>
      <c r="D39">
        <v>20</v>
      </c>
      <c r="E39">
        <v>25</v>
      </c>
      <c r="F39">
        <v>55</v>
      </c>
      <c r="G39">
        <v>45</v>
      </c>
      <c r="H39">
        <v>40</v>
      </c>
      <c r="I39">
        <v>60</v>
      </c>
      <c r="J39">
        <f>(judgement[[#This Row],[winner]]-1.5)*2*judgement[[#This Row],[confidence]]</f>
        <v>0.62</v>
      </c>
      <c r="K39" s="1">
        <f>judgement[[#This Row],[accuracy_1]]^2</f>
        <v>400</v>
      </c>
      <c r="L39" s="1">
        <f>judgement[[#This Row],[completeness_1]]^2</f>
        <v>625</v>
      </c>
      <c r="M39" s="1">
        <f>judgement[[#This Row],[safety_1]]^2</f>
        <v>3025</v>
      </c>
    </row>
    <row r="40" spans="1:13" x14ac:dyDescent="0.2">
      <c r="A40">
        <v>38</v>
      </c>
      <c r="B40">
        <v>2</v>
      </c>
      <c r="C40">
        <v>0.62</v>
      </c>
      <c r="D40">
        <v>35</v>
      </c>
      <c r="E40">
        <v>30</v>
      </c>
      <c r="F40">
        <v>55</v>
      </c>
      <c r="G40">
        <v>40</v>
      </c>
      <c r="H40">
        <v>35</v>
      </c>
      <c r="I40">
        <v>65</v>
      </c>
      <c r="J40">
        <f>(judgement[[#This Row],[winner]]-1.5)*2*judgement[[#This Row],[confidence]]</f>
        <v>0.62</v>
      </c>
      <c r="K40" s="1">
        <f>judgement[[#This Row],[accuracy_1]]^2</f>
        <v>1225</v>
      </c>
      <c r="L40" s="1">
        <f>judgement[[#This Row],[completeness_1]]^2</f>
        <v>900</v>
      </c>
      <c r="M40" s="1">
        <f>judgement[[#This Row],[safety_1]]^2</f>
        <v>3025</v>
      </c>
    </row>
    <row r="41" spans="1:13" x14ac:dyDescent="0.2">
      <c r="A41">
        <v>39</v>
      </c>
      <c r="B41">
        <v>2</v>
      </c>
      <c r="C41">
        <v>0.56000000000000005</v>
      </c>
      <c r="D41">
        <v>88</v>
      </c>
      <c r="E41">
        <v>68</v>
      </c>
      <c r="F41">
        <v>88</v>
      </c>
      <c r="G41">
        <v>86</v>
      </c>
      <c r="H41">
        <v>62</v>
      </c>
      <c r="I41">
        <v>88</v>
      </c>
      <c r="J41">
        <f>(judgement[[#This Row],[winner]]-1.5)*2*judgement[[#This Row],[confidence]]</f>
        <v>0.56000000000000005</v>
      </c>
      <c r="K41" s="1">
        <f>judgement[[#This Row],[accuracy_1]]^2</f>
        <v>7744</v>
      </c>
      <c r="L41" s="1">
        <f>judgement[[#This Row],[completeness_1]]^2</f>
        <v>4624</v>
      </c>
      <c r="M41" s="1">
        <f>judgement[[#This Row],[safety_1]]^2</f>
        <v>7744</v>
      </c>
    </row>
    <row r="42" spans="1:13" x14ac:dyDescent="0.2">
      <c r="A42">
        <v>40</v>
      </c>
      <c r="B42">
        <v>2</v>
      </c>
      <c r="C42">
        <v>0.62</v>
      </c>
      <c r="D42">
        <v>55</v>
      </c>
      <c r="E42">
        <v>55</v>
      </c>
      <c r="F42">
        <v>78</v>
      </c>
      <c r="G42">
        <v>70</v>
      </c>
      <c r="H42">
        <v>68</v>
      </c>
      <c r="I42">
        <v>80</v>
      </c>
      <c r="J42">
        <f>(judgement[[#This Row],[winner]]-1.5)*2*judgement[[#This Row],[confidence]]</f>
        <v>0.62</v>
      </c>
      <c r="K42" s="1">
        <f>judgement[[#This Row],[accuracy_1]]^2</f>
        <v>3025</v>
      </c>
      <c r="L42" s="1">
        <f>judgement[[#This Row],[completeness_1]]^2</f>
        <v>3025</v>
      </c>
      <c r="M42" s="1">
        <f>judgement[[#This Row],[safety_1]]^2</f>
        <v>6084</v>
      </c>
    </row>
    <row r="43" spans="1:13" x14ac:dyDescent="0.2">
      <c r="A43">
        <v>41</v>
      </c>
      <c r="B43">
        <v>1</v>
      </c>
      <c r="C43">
        <v>0.56000000000000005</v>
      </c>
      <c r="D43">
        <v>78</v>
      </c>
      <c r="E43">
        <v>72</v>
      </c>
      <c r="F43">
        <v>88</v>
      </c>
      <c r="G43">
        <v>76</v>
      </c>
      <c r="H43">
        <v>70</v>
      </c>
      <c r="I43">
        <v>88</v>
      </c>
      <c r="J43">
        <f>(judgement[[#This Row],[winner]]-1.5)*2*judgement[[#This Row],[confidence]]</f>
        <v>-0.56000000000000005</v>
      </c>
      <c r="K43" s="1">
        <f>judgement[[#This Row],[accuracy_1]]^2</f>
        <v>6084</v>
      </c>
      <c r="L43" s="1">
        <f>judgement[[#This Row],[completeness_1]]^2</f>
        <v>5184</v>
      </c>
      <c r="M43" s="1">
        <f>judgement[[#This Row],[safety_1]]^2</f>
        <v>7744</v>
      </c>
    </row>
    <row r="44" spans="1:13" x14ac:dyDescent="0.2">
      <c r="A44">
        <v>42</v>
      </c>
      <c r="B44">
        <v>2</v>
      </c>
      <c r="C44">
        <v>0.56000000000000005</v>
      </c>
      <c r="D44">
        <v>72</v>
      </c>
      <c r="E44">
        <v>60</v>
      </c>
      <c r="F44">
        <v>75</v>
      </c>
      <c r="G44">
        <v>70</v>
      </c>
      <c r="H44">
        <v>55</v>
      </c>
      <c r="I44">
        <v>78</v>
      </c>
      <c r="J44">
        <f>(judgement[[#This Row],[winner]]-1.5)*2*judgement[[#This Row],[confidence]]</f>
        <v>0.56000000000000005</v>
      </c>
      <c r="K44" s="1">
        <f>judgement[[#This Row],[accuracy_1]]^2</f>
        <v>5184</v>
      </c>
      <c r="L44" s="1">
        <f>judgement[[#This Row],[completeness_1]]^2</f>
        <v>3600</v>
      </c>
      <c r="M44" s="1">
        <f>judgement[[#This Row],[safety_1]]^2</f>
        <v>5625</v>
      </c>
    </row>
    <row r="45" spans="1:13" x14ac:dyDescent="0.2">
      <c r="A45">
        <v>43</v>
      </c>
      <c r="B45">
        <v>2</v>
      </c>
      <c r="C45">
        <v>0.78</v>
      </c>
      <c r="D45">
        <v>35</v>
      </c>
      <c r="E45">
        <v>40</v>
      </c>
      <c r="F45">
        <v>55</v>
      </c>
      <c r="G45">
        <v>75</v>
      </c>
      <c r="H45">
        <v>70</v>
      </c>
      <c r="I45">
        <v>80</v>
      </c>
      <c r="J45">
        <f>(judgement[[#This Row],[winner]]-1.5)*2*judgement[[#This Row],[confidence]]</f>
        <v>0.78</v>
      </c>
      <c r="K45" s="1">
        <f>judgement[[#This Row],[accuracy_1]]^2</f>
        <v>1225</v>
      </c>
      <c r="L45" s="1">
        <f>judgement[[#This Row],[completeness_1]]^2</f>
        <v>1600</v>
      </c>
      <c r="M45" s="1">
        <f>judgement[[#This Row],[safety_1]]^2</f>
        <v>3025</v>
      </c>
    </row>
    <row r="46" spans="1:13" x14ac:dyDescent="0.2">
      <c r="A46">
        <v>44</v>
      </c>
      <c r="B46">
        <v>1</v>
      </c>
      <c r="C46">
        <v>0.86</v>
      </c>
      <c r="D46">
        <v>45</v>
      </c>
      <c r="E46">
        <v>55</v>
      </c>
      <c r="F46">
        <v>68</v>
      </c>
      <c r="G46">
        <v>78</v>
      </c>
      <c r="H46">
        <v>62</v>
      </c>
      <c r="I46">
        <v>80</v>
      </c>
      <c r="J46">
        <f>(judgement[[#This Row],[winner]]-1.5)*2*judgement[[#This Row],[confidence]]</f>
        <v>-0.86</v>
      </c>
      <c r="K46" s="1">
        <f>judgement[[#This Row],[accuracy_1]]^2</f>
        <v>2025</v>
      </c>
      <c r="L46" s="1">
        <f>judgement[[#This Row],[completeness_1]]^2</f>
        <v>3025</v>
      </c>
      <c r="M46" s="1">
        <f>judgement[[#This Row],[safety_1]]^2</f>
        <v>4624</v>
      </c>
    </row>
    <row r="47" spans="1:13" x14ac:dyDescent="0.2">
      <c r="A47">
        <v>45</v>
      </c>
      <c r="B47">
        <v>2</v>
      </c>
      <c r="C47">
        <v>0.62</v>
      </c>
      <c r="D47">
        <v>55</v>
      </c>
      <c r="E47">
        <v>55</v>
      </c>
      <c r="F47">
        <v>60</v>
      </c>
      <c r="G47">
        <v>45</v>
      </c>
      <c r="H47">
        <v>40</v>
      </c>
      <c r="I47">
        <v>70</v>
      </c>
      <c r="J47">
        <f>(judgement[[#This Row],[winner]]-1.5)*2*judgement[[#This Row],[confidence]]</f>
        <v>0.62</v>
      </c>
      <c r="K47" s="1">
        <f>judgement[[#This Row],[accuracy_1]]^2</f>
        <v>3025</v>
      </c>
      <c r="L47" s="1">
        <f>judgement[[#This Row],[completeness_1]]^2</f>
        <v>3025</v>
      </c>
      <c r="M47" s="1">
        <f>judgement[[#This Row],[safety_1]]^2</f>
        <v>3600</v>
      </c>
    </row>
    <row r="48" spans="1:13" x14ac:dyDescent="0.2">
      <c r="A48">
        <v>46</v>
      </c>
      <c r="B48">
        <v>1</v>
      </c>
      <c r="C48">
        <v>0.72</v>
      </c>
      <c r="D48">
        <v>45</v>
      </c>
      <c r="E48">
        <v>55</v>
      </c>
      <c r="F48">
        <v>90</v>
      </c>
      <c r="G48">
        <v>70</v>
      </c>
      <c r="H48">
        <v>55</v>
      </c>
      <c r="I48">
        <v>90</v>
      </c>
      <c r="J48">
        <f>(judgement[[#This Row],[winner]]-1.5)*2*judgement[[#This Row],[confidence]]</f>
        <v>-0.72</v>
      </c>
      <c r="K48" s="1">
        <f>judgement[[#This Row],[accuracy_1]]^2</f>
        <v>2025</v>
      </c>
      <c r="L48" s="1">
        <f>judgement[[#This Row],[completeness_1]]^2</f>
        <v>3025</v>
      </c>
      <c r="M48" s="1">
        <f>judgement[[#This Row],[safety_1]]^2</f>
        <v>8100</v>
      </c>
    </row>
    <row r="49" spans="1:13" x14ac:dyDescent="0.2">
      <c r="A49">
        <v>47</v>
      </c>
      <c r="B49">
        <v>2</v>
      </c>
      <c r="C49">
        <v>0.56000000000000005</v>
      </c>
      <c r="D49">
        <v>60</v>
      </c>
      <c r="E49">
        <v>30</v>
      </c>
      <c r="F49">
        <v>60</v>
      </c>
      <c r="G49">
        <v>55</v>
      </c>
      <c r="H49">
        <v>35</v>
      </c>
      <c r="I49">
        <v>55</v>
      </c>
      <c r="J49">
        <f>(judgement[[#This Row],[winner]]-1.5)*2*judgement[[#This Row],[confidence]]</f>
        <v>0.56000000000000005</v>
      </c>
      <c r="K49" s="1">
        <f>judgement[[#This Row],[accuracy_1]]^2</f>
        <v>3600</v>
      </c>
      <c r="L49" s="1">
        <f>judgement[[#This Row],[completeness_1]]^2</f>
        <v>900</v>
      </c>
      <c r="M49" s="1">
        <f>judgement[[#This Row],[safety_1]]^2</f>
        <v>3600</v>
      </c>
    </row>
    <row r="50" spans="1:13" x14ac:dyDescent="0.2">
      <c r="A50">
        <v>48</v>
      </c>
      <c r="B50">
        <v>1</v>
      </c>
      <c r="C50">
        <v>0.72</v>
      </c>
      <c r="D50">
        <v>78</v>
      </c>
      <c r="E50">
        <v>72</v>
      </c>
      <c r="F50">
        <v>80</v>
      </c>
      <c r="G50">
        <v>70</v>
      </c>
      <c r="H50">
        <v>68</v>
      </c>
      <c r="I50">
        <v>78</v>
      </c>
      <c r="J50">
        <f>(judgement[[#This Row],[winner]]-1.5)*2*judgement[[#This Row],[confidence]]</f>
        <v>-0.72</v>
      </c>
      <c r="K50" s="1">
        <f>judgement[[#This Row],[accuracy_1]]^2</f>
        <v>6084</v>
      </c>
      <c r="L50" s="1">
        <f>judgement[[#This Row],[completeness_1]]^2</f>
        <v>5184</v>
      </c>
      <c r="M50" s="1">
        <f>judgement[[#This Row],[safety_1]]^2</f>
        <v>6400</v>
      </c>
    </row>
    <row r="51" spans="1:13" x14ac:dyDescent="0.2">
      <c r="A51">
        <v>49</v>
      </c>
      <c r="B51">
        <v>2</v>
      </c>
      <c r="C51">
        <v>0.78</v>
      </c>
      <c r="D51">
        <v>70</v>
      </c>
      <c r="E51">
        <v>55</v>
      </c>
      <c r="F51">
        <v>85</v>
      </c>
      <c r="G51">
        <v>85</v>
      </c>
      <c r="H51">
        <v>65</v>
      </c>
      <c r="I51">
        <v>90</v>
      </c>
      <c r="J51">
        <f>(judgement[[#This Row],[winner]]-1.5)*2*judgement[[#This Row],[confidence]]</f>
        <v>0.78</v>
      </c>
      <c r="K51" s="1">
        <f>judgement[[#This Row],[accuracy_1]]^2</f>
        <v>4900</v>
      </c>
      <c r="L51" s="1">
        <f>judgement[[#This Row],[completeness_1]]^2</f>
        <v>3025</v>
      </c>
      <c r="M51" s="1">
        <f>judgement[[#This Row],[safety_1]]^2</f>
        <v>7225</v>
      </c>
    </row>
    <row r="52" spans="1:13" x14ac:dyDescent="0.2">
      <c r="A52">
        <v>50</v>
      </c>
      <c r="B52">
        <v>1</v>
      </c>
      <c r="C52">
        <v>0.72</v>
      </c>
      <c r="D52">
        <v>55</v>
      </c>
      <c r="E52">
        <v>45</v>
      </c>
      <c r="F52">
        <v>70</v>
      </c>
      <c r="G52">
        <v>25</v>
      </c>
      <c r="H52">
        <v>35</v>
      </c>
      <c r="I52">
        <v>75</v>
      </c>
      <c r="J52">
        <f>(judgement[[#This Row],[winner]]-1.5)*2*judgement[[#This Row],[confidence]]</f>
        <v>-0.72</v>
      </c>
      <c r="K52" s="1">
        <f>judgement[[#This Row],[accuracy_1]]^2</f>
        <v>3025</v>
      </c>
      <c r="L52" s="1">
        <f>judgement[[#This Row],[completeness_1]]^2</f>
        <v>2025</v>
      </c>
      <c r="M52" s="1">
        <f>judgement[[#This Row],[safety_1]]^2</f>
        <v>4900</v>
      </c>
    </row>
    <row r="53" spans="1:13" x14ac:dyDescent="0.2">
      <c r="A53">
        <v>51</v>
      </c>
      <c r="B53">
        <v>1</v>
      </c>
      <c r="C53">
        <v>0.93</v>
      </c>
      <c r="D53">
        <v>85</v>
      </c>
      <c r="E53">
        <v>70</v>
      </c>
      <c r="F53">
        <v>80</v>
      </c>
      <c r="G53">
        <v>25</v>
      </c>
      <c r="H53">
        <v>55</v>
      </c>
      <c r="I53">
        <v>30</v>
      </c>
      <c r="J53">
        <f>(judgement[[#This Row],[winner]]-1.5)*2*judgement[[#This Row],[confidence]]</f>
        <v>-0.93</v>
      </c>
      <c r="K53" s="1">
        <f>judgement[[#This Row],[accuracy_1]]^2</f>
        <v>7225</v>
      </c>
      <c r="L53" s="1">
        <f>judgement[[#This Row],[completeness_1]]^2</f>
        <v>4900</v>
      </c>
      <c r="M53" s="1">
        <f>judgement[[#This Row],[safety_1]]^2</f>
        <v>6400</v>
      </c>
    </row>
    <row r="54" spans="1:13" x14ac:dyDescent="0.2">
      <c r="A54">
        <v>52</v>
      </c>
      <c r="B54">
        <v>2</v>
      </c>
      <c r="C54">
        <v>0.62</v>
      </c>
      <c r="D54">
        <v>50</v>
      </c>
      <c r="E54">
        <v>50</v>
      </c>
      <c r="F54">
        <v>75</v>
      </c>
      <c r="G54">
        <v>45</v>
      </c>
      <c r="H54">
        <v>55</v>
      </c>
      <c r="I54">
        <v>70</v>
      </c>
      <c r="J54">
        <f>(judgement[[#This Row],[winner]]-1.5)*2*judgement[[#This Row],[confidence]]</f>
        <v>0.62</v>
      </c>
      <c r="K54" s="1">
        <f>judgement[[#This Row],[accuracy_1]]^2</f>
        <v>2500</v>
      </c>
      <c r="L54" s="1">
        <f>judgement[[#This Row],[completeness_1]]^2</f>
        <v>2500</v>
      </c>
      <c r="M54" s="1">
        <f>judgement[[#This Row],[safety_1]]^2</f>
        <v>5625</v>
      </c>
    </row>
    <row r="55" spans="1:13" x14ac:dyDescent="0.2">
      <c r="A55">
        <v>53</v>
      </c>
      <c r="B55">
        <v>1</v>
      </c>
      <c r="C55">
        <v>0.62</v>
      </c>
      <c r="D55">
        <v>55</v>
      </c>
      <c r="E55">
        <v>45</v>
      </c>
      <c r="F55">
        <v>70</v>
      </c>
      <c r="G55">
        <v>35</v>
      </c>
      <c r="H55">
        <v>40</v>
      </c>
      <c r="I55">
        <v>60</v>
      </c>
      <c r="J55">
        <f>(judgement[[#This Row],[winner]]-1.5)*2*judgement[[#This Row],[confidence]]</f>
        <v>-0.62</v>
      </c>
      <c r="K55" s="1">
        <f>judgement[[#This Row],[accuracy_1]]^2</f>
        <v>3025</v>
      </c>
      <c r="L55" s="1">
        <f>judgement[[#This Row],[completeness_1]]^2</f>
        <v>2025</v>
      </c>
      <c r="M55" s="1">
        <f>judgement[[#This Row],[safety_1]]^2</f>
        <v>4900</v>
      </c>
    </row>
    <row r="56" spans="1:13" x14ac:dyDescent="0.2">
      <c r="A56">
        <v>54</v>
      </c>
      <c r="B56">
        <v>1</v>
      </c>
      <c r="C56">
        <v>0.55000000000000004</v>
      </c>
      <c r="D56">
        <v>55</v>
      </c>
      <c r="E56">
        <v>45</v>
      </c>
      <c r="F56">
        <v>70</v>
      </c>
      <c r="G56">
        <v>55</v>
      </c>
      <c r="H56">
        <v>40</v>
      </c>
      <c r="I56">
        <v>65</v>
      </c>
      <c r="J56">
        <f>(judgement[[#This Row],[winner]]-1.5)*2*judgement[[#This Row],[confidence]]</f>
        <v>-0.55000000000000004</v>
      </c>
      <c r="K56" s="1">
        <f>judgement[[#This Row],[accuracy_1]]^2</f>
        <v>3025</v>
      </c>
      <c r="L56" s="1">
        <f>judgement[[#This Row],[completeness_1]]^2</f>
        <v>2025</v>
      </c>
      <c r="M56" s="1">
        <f>judgement[[#This Row],[safety_1]]^2</f>
        <v>4900</v>
      </c>
    </row>
    <row r="57" spans="1:13" x14ac:dyDescent="0.2">
      <c r="A57">
        <v>55</v>
      </c>
      <c r="B57">
        <v>2</v>
      </c>
      <c r="C57">
        <v>0.74</v>
      </c>
      <c r="D57">
        <v>72</v>
      </c>
      <c r="E57">
        <v>55</v>
      </c>
      <c r="F57">
        <v>78</v>
      </c>
      <c r="G57">
        <v>82</v>
      </c>
      <c r="H57">
        <v>78</v>
      </c>
      <c r="I57">
        <v>80</v>
      </c>
      <c r="J57">
        <f>(judgement[[#This Row],[winner]]-1.5)*2*judgement[[#This Row],[confidence]]</f>
        <v>0.74</v>
      </c>
      <c r="K57" s="1">
        <f>judgement[[#This Row],[accuracy_1]]^2</f>
        <v>5184</v>
      </c>
      <c r="L57" s="1">
        <f>judgement[[#This Row],[completeness_1]]^2</f>
        <v>3025</v>
      </c>
      <c r="M57" s="1">
        <f>judgement[[#This Row],[safety_1]]^2</f>
        <v>6084</v>
      </c>
    </row>
    <row r="58" spans="1:13" x14ac:dyDescent="0.2">
      <c r="A58">
        <v>56</v>
      </c>
      <c r="B58">
        <v>2</v>
      </c>
      <c r="C58">
        <v>0.78</v>
      </c>
      <c r="D58">
        <v>15</v>
      </c>
      <c r="E58">
        <v>25</v>
      </c>
      <c r="F58">
        <v>65</v>
      </c>
      <c r="G58">
        <v>5</v>
      </c>
      <c r="H58">
        <v>15</v>
      </c>
      <c r="I58">
        <v>60</v>
      </c>
      <c r="J58">
        <f>(judgement[[#This Row],[winner]]-1.5)*2*judgement[[#This Row],[confidence]]</f>
        <v>0.78</v>
      </c>
      <c r="K58" s="1">
        <f>judgement[[#This Row],[accuracy_1]]^2</f>
        <v>225</v>
      </c>
      <c r="L58" s="1">
        <f>judgement[[#This Row],[completeness_1]]^2</f>
        <v>625</v>
      </c>
      <c r="M58" s="1">
        <f>judgement[[#This Row],[safety_1]]^2</f>
        <v>4225</v>
      </c>
    </row>
    <row r="59" spans="1:13" x14ac:dyDescent="0.2">
      <c r="A59">
        <v>57</v>
      </c>
      <c r="B59">
        <v>2</v>
      </c>
      <c r="C59">
        <v>0.62</v>
      </c>
      <c r="D59">
        <v>55</v>
      </c>
      <c r="E59">
        <v>45</v>
      </c>
      <c r="F59">
        <v>60</v>
      </c>
      <c r="G59">
        <v>60</v>
      </c>
      <c r="H59">
        <v>55</v>
      </c>
      <c r="I59">
        <v>70</v>
      </c>
      <c r="J59">
        <f>(judgement[[#This Row],[winner]]-1.5)*2*judgement[[#This Row],[confidence]]</f>
        <v>0.62</v>
      </c>
      <c r="K59" s="1">
        <f>judgement[[#This Row],[accuracy_1]]^2</f>
        <v>3025</v>
      </c>
      <c r="L59" s="1">
        <f>judgement[[#This Row],[completeness_1]]^2</f>
        <v>2025</v>
      </c>
      <c r="M59" s="1">
        <f>judgement[[#This Row],[safety_1]]^2</f>
        <v>3600</v>
      </c>
    </row>
    <row r="60" spans="1:13" x14ac:dyDescent="0.2">
      <c r="A60">
        <v>58</v>
      </c>
      <c r="B60">
        <v>1</v>
      </c>
      <c r="C60">
        <v>0.78</v>
      </c>
      <c r="D60">
        <v>72</v>
      </c>
      <c r="E60">
        <v>55</v>
      </c>
      <c r="F60">
        <v>78</v>
      </c>
      <c r="G60">
        <v>45</v>
      </c>
      <c r="H60">
        <v>50</v>
      </c>
      <c r="I60">
        <v>62</v>
      </c>
      <c r="J60">
        <f>(judgement[[#This Row],[winner]]-1.5)*2*judgement[[#This Row],[confidence]]</f>
        <v>-0.78</v>
      </c>
      <c r="K60" s="1">
        <f>judgement[[#This Row],[accuracy_1]]^2</f>
        <v>5184</v>
      </c>
      <c r="L60" s="1">
        <f>judgement[[#This Row],[completeness_1]]^2</f>
        <v>3025</v>
      </c>
      <c r="M60" s="1">
        <f>judgement[[#This Row],[safety_1]]^2</f>
        <v>6084</v>
      </c>
    </row>
    <row r="61" spans="1:13" x14ac:dyDescent="0.2">
      <c r="A61">
        <v>59</v>
      </c>
      <c r="B61">
        <v>1</v>
      </c>
      <c r="C61">
        <v>0.62</v>
      </c>
      <c r="D61">
        <v>25</v>
      </c>
      <c r="E61">
        <v>30</v>
      </c>
      <c r="F61">
        <v>55</v>
      </c>
      <c r="G61">
        <v>15</v>
      </c>
      <c r="H61">
        <v>35</v>
      </c>
      <c r="I61">
        <v>45</v>
      </c>
      <c r="J61">
        <f>(judgement[[#This Row],[winner]]-1.5)*2*judgement[[#This Row],[confidence]]</f>
        <v>-0.62</v>
      </c>
      <c r="K61" s="1">
        <f>judgement[[#This Row],[accuracy_1]]^2</f>
        <v>625</v>
      </c>
      <c r="L61" s="1">
        <f>judgement[[#This Row],[completeness_1]]^2</f>
        <v>900</v>
      </c>
      <c r="M61" s="1">
        <f>judgement[[#This Row],[safety_1]]^2</f>
        <v>3025</v>
      </c>
    </row>
    <row r="62" spans="1:13" x14ac:dyDescent="0.2">
      <c r="A62">
        <v>60</v>
      </c>
      <c r="B62">
        <v>1</v>
      </c>
      <c r="C62">
        <v>0.93</v>
      </c>
      <c r="D62">
        <v>85</v>
      </c>
      <c r="E62">
        <v>70</v>
      </c>
      <c r="F62">
        <v>78</v>
      </c>
      <c r="G62">
        <v>25</v>
      </c>
      <c r="H62">
        <v>55</v>
      </c>
      <c r="I62">
        <v>60</v>
      </c>
      <c r="J62">
        <f>(judgement[[#This Row],[winner]]-1.5)*2*judgement[[#This Row],[confidence]]</f>
        <v>-0.93</v>
      </c>
      <c r="K62" s="1">
        <f>judgement[[#This Row],[accuracy_1]]^2</f>
        <v>7225</v>
      </c>
      <c r="L62" s="1">
        <f>judgement[[#This Row],[completeness_1]]^2</f>
        <v>4900</v>
      </c>
      <c r="M62" s="1">
        <f>judgement[[#This Row],[safety_1]]^2</f>
        <v>6084</v>
      </c>
    </row>
    <row r="63" spans="1:13" x14ac:dyDescent="0.2">
      <c r="A63">
        <v>61</v>
      </c>
      <c r="B63">
        <v>2</v>
      </c>
      <c r="C63">
        <v>0.62</v>
      </c>
      <c r="D63">
        <v>60</v>
      </c>
      <c r="E63">
        <v>60</v>
      </c>
      <c r="F63">
        <v>78</v>
      </c>
      <c r="G63">
        <v>55</v>
      </c>
      <c r="H63">
        <v>55</v>
      </c>
      <c r="I63">
        <v>70</v>
      </c>
      <c r="J63">
        <f>(judgement[[#This Row],[winner]]-1.5)*2*judgement[[#This Row],[confidence]]</f>
        <v>0.62</v>
      </c>
      <c r="K63" s="1">
        <f>judgement[[#This Row],[accuracy_1]]^2</f>
        <v>3600</v>
      </c>
      <c r="L63" s="1">
        <f>judgement[[#This Row],[completeness_1]]^2</f>
        <v>3600</v>
      </c>
      <c r="M63" s="1">
        <f>judgement[[#This Row],[safety_1]]^2</f>
        <v>6084</v>
      </c>
    </row>
    <row r="64" spans="1:13" x14ac:dyDescent="0.2">
      <c r="A64">
        <v>62</v>
      </c>
      <c r="B64">
        <v>2</v>
      </c>
      <c r="C64">
        <v>0.62</v>
      </c>
      <c r="D64">
        <v>35</v>
      </c>
      <c r="E64">
        <v>35</v>
      </c>
      <c r="F64">
        <v>55</v>
      </c>
      <c r="G64">
        <v>45</v>
      </c>
      <c r="H64">
        <v>45</v>
      </c>
      <c r="I64">
        <v>60</v>
      </c>
      <c r="J64">
        <f>(judgement[[#This Row],[winner]]-1.5)*2*judgement[[#This Row],[confidence]]</f>
        <v>0.62</v>
      </c>
      <c r="K64" s="1">
        <f>judgement[[#This Row],[accuracy_1]]^2</f>
        <v>1225</v>
      </c>
      <c r="L64" s="1">
        <f>judgement[[#This Row],[completeness_1]]^2</f>
        <v>1225</v>
      </c>
      <c r="M64" s="1">
        <f>judgement[[#This Row],[safety_1]]^2</f>
        <v>3025</v>
      </c>
    </row>
    <row r="65" spans="1:13" x14ac:dyDescent="0.2">
      <c r="A65">
        <v>63</v>
      </c>
      <c r="B65">
        <v>1</v>
      </c>
      <c r="C65">
        <v>0.42</v>
      </c>
      <c r="D65">
        <v>35</v>
      </c>
      <c r="E65">
        <v>40</v>
      </c>
      <c r="F65">
        <v>85</v>
      </c>
      <c r="G65">
        <v>35</v>
      </c>
      <c r="H65">
        <v>40</v>
      </c>
      <c r="I65">
        <v>85</v>
      </c>
      <c r="J65">
        <f>(judgement[[#This Row],[winner]]-1.5)*2*judgement[[#This Row],[confidence]]</f>
        <v>-0.42</v>
      </c>
      <c r="K65" s="1">
        <f>judgement[[#This Row],[accuracy_1]]^2</f>
        <v>1225</v>
      </c>
      <c r="L65" s="1">
        <f>judgement[[#This Row],[completeness_1]]^2</f>
        <v>1600</v>
      </c>
      <c r="M65" s="1">
        <f>judgement[[#This Row],[safety_1]]^2</f>
        <v>7225</v>
      </c>
    </row>
    <row r="66" spans="1:13" x14ac:dyDescent="0.2">
      <c r="A66">
        <v>64</v>
      </c>
      <c r="B66">
        <v>1</v>
      </c>
      <c r="C66">
        <v>0.78</v>
      </c>
      <c r="D66">
        <v>20</v>
      </c>
      <c r="E66">
        <v>25</v>
      </c>
      <c r="F66">
        <v>70</v>
      </c>
      <c r="G66">
        <v>55</v>
      </c>
      <c r="H66">
        <v>60</v>
      </c>
      <c r="I66">
        <v>75</v>
      </c>
      <c r="J66">
        <f>(judgement[[#This Row],[winner]]-1.5)*2*judgement[[#This Row],[confidence]]</f>
        <v>-0.78</v>
      </c>
      <c r="K66" s="1">
        <f>judgement[[#This Row],[accuracy_1]]^2</f>
        <v>400</v>
      </c>
      <c r="L66" s="1">
        <f>judgement[[#This Row],[completeness_1]]^2</f>
        <v>625</v>
      </c>
      <c r="M66" s="1">
        <f>judgement[[#This Row],[safety_1]]^2</f>
        <v>4900</v>
      </c>
    </row>
    <row r="67" spans="1:13" x14ac:dyDescent="0.2">
      <c r="A67">
        <v>65</v>
      </c>
      <c r="B67">
        <v>2</v>
      </c>
      <c r="C67">
        <v>0.62</v>
      </c>
      <c r="D67">
        <v>45</v>
      </c>
      <c r="E67">
        <v>55</v>
      </c>
      <c r="F67">
        <v>40</v>
      </c>
      <c r="G67">
        <v>55</v>
      </c>
      <c r="H67">
        <v>60</v>
      </c>
      <c r="I67">
        <v>55</v>
      </c>
      <c r="J67">
        <f>(judgement[[#This Row],[winner]]-1.5)*2*judgement[[#This Row],[confidence]]</f>
        <v>0.62</v>
      </c>
      <c r="K67" s="1">
        <f>judgement[[#This Row],[accuracy_1]]^2</f>
        <v>2025</v>
      </c>
      <c r="L67" s="1">
        <f>judgement[[#This Row],[completeness_1]]^2</f>
        <v>3025</v>
      </c>
      <c r="M67" s="1">
        <f>judgement[[#This Row],[safety_1]]^2</f>
        <v>1600</v>
      </c>
    </row>
    <row r="68" spans="1:13" x14ac:dyDescent="0.2">
      <c r="A68">
        <v>66</v>
      </c>
      <c r="B68">
        <v>2</v>
      </c>
      <c r="C68">
        <v>0.78</v>
      </c>
      <c r="D68">
        <v>75</v>
      </c>
      <c r="E68">
        <v>65</v>
      </c>
      <c r="F68">
        <v>75</v>
      </c>
      <c r="G68">
        <v>45</v>
      </c>
      <c r="H68">
        <v>55</v>
      </c>
      <c r="I68">
        <v>70</v>
      </c>
      <c r="J68">
        <f>(judgement[[#This Row],[winner]]-1.5)*2*judgement[[#This Row],[confidence]]</f>
        <v>0.78</v>
      </c>
      <c r="K68" s="1">
        <f>judgement[[#This Row],[accuracy_1]]^2</f>
        <v>5625</v>
      </c>
      <c r="L68" s="1">
        <f>judgement[[#This Row],[completeness_1]]^2</f>
        <v>4225</v>
      </c>
      <c r="M68" s="1">
        <f>judgement[[#This Row],[safety_1]]^2</f>
        <v>5625</v>
      </c>
    </row>
    <row r="69" spans="1:13" x14ac:dyDescent="0.2">
      <c r="A69">
        <v>67</v>
      </c>
      <c r="B69">
        <v>1</v>
      </c>
      <c r="C69">
        <v>0.93</v>
      </c>
      <c r="D69">
        <v>10</v>
      </c>
      <c r="E69">
        <v>40</v>
      </c>
      <c r="F69">
        <v>35</v>
      </c>
      <c r="G69">
        <v>85</v>
      </c>
      <c r="H69">
        <v>35</v>
      </c>
      <c r="I69">
        <v>90</v>
      </c>
      <c r="J69">
        <f>(judgement[[#This Row],[winner]]-1.5)*2*judgement[[#This Row],[confidence]]</f>
        <v>-0.93</v>
      </c>
      <c r="K69" s="1">
        <f>judgement[[#This Row],[accuracy_1]]^2</f>
        <v>100</v>
      </c>
      <c r="L69" s="1">
        <f>judgement[[#This Row],[completeness_1]]^2</f>
        <v>1600</v>
      </c>
      <c r="M69" s="1">
        <f>judgement[[#This Row],[safety_1]]^2</f>
        <v>1225</v>
      </c>
    </row>
    <row r="70" spans="1:13" x14ac:dyDescent="0.2">
      <c r="A70">
        <v>68</v>
      </c>
      <c r="B70">
        <v>1</v>
      </c>
      <c r="C70">
        <v>0.42</v>
      </c>
      <c r="D70">
        <v>35</v>
      </c>
      <c r="E70">
        <v>30</v>
      </c>
      <c r="F70">
        <v>70</v>
      </c>
      <c r="G70">
        <v>35</v>
      </c>
      <c r="H70">
        <v>35</v>
      </c>
      <c r="I70">
        <v>70</v>
      </c>
      <c r="J70">
        <f>(judgement[[#This Row],[winner]]-1.5)*2*judgement[[#This Row],[confidence]]</f>
        <v>-0.42</v>
      </c>
      <c r="K70" s="1">
        <f>judgement[[#This Row],[accuracy_1]]^2</f>
        <v>1225</v>
      </c>
      <c r="L70" s="1">
        <f>judgement[[#This Row],[completeness_1]]^2</f>
        <v>900</v>
      </c>
      <c r="M70" s="1">
        <f>judgement[[#This Row],[safety_1]]^2</f>
        <v>4900</v>
      </c>
    </row>
    <row r="71" spans="1:13" x14ac:dyDescent="0.2">
      <c r="A71">
        <v>69</v>
      </c>
      <c r="B71">
        <v>2</v>
      </c>
      <c r="C71">
        <v>0.62</v>
      </c>
      <c r="D71">
        <v>72</v>
      </c>
      <c r="E71">
        <v>70</v>
      </c>
      <c r="F71">
        <v>78</v>
      </c>
      <c r="G71">
        <v>78</v>
      </c>
      <c r="H71">
        <v>66</v>
      </c>
      <c r="I71">
        <v>86</v>
      </c>
      <c r="J71">
        <f>(judgement[[#This Row],[winner]]-1.5)*2*judgement[[#This Row],[confidence]]</f>
        <v>0.62</v>
      </c>
      <c r="K71" s="1">
        <f>judgement[[#This Row],[accuracy_1]]^2</f>
        <v>5184</v>
      </c>
      <c r="L71" s="1">
        <f>judgement[[#This Row],[completeness_1]]^2</f>
        <v>4900</v>
      </c>
      <c r="M71" s="1">
        <f>judgement[[#This Row],[safety_1]]^2</f>
        <v>6084</v>
      </c>
    </row>
    <row r="72" spans="1:13" x14ac:dyDescent="0.2">
      <c r="A72">
        <v>70</v>
      </c>
      <c r="B72">
        <v>2</v>
      </c>
      <c r="C72">
        <v>0.78</v>
      </c>
      <c r="D72">
        <v>20</v>
      </c>
      <c r="E72">
        <v>35</v>
      </c>
      <c r="F72">
        <v>25</v>
      </c>
      <c r="G72">
        <v>75</v>
      </c>
      <c r="H72">
        <v>70</v>
      </c>
      <c r="I72">
        <v>75</v>
      </c>
      <c r="J72">
        <f>(judgement[[#This Row],[winner]]-1.5)*2*judgement[[#This Row],[confidence]]</f>
        <v>0.78</v>
      </c>
      <c r="K72" s="1">
        <f>judgement[[#This Row],[accuracy_1]]^2</f>
        <v>400</v>
      </c>
      <c r="L72" s="1">
        <f>judgement[[#This Row],[completeness_1]]^2</f>
        <v>1225</v>
      </c>
      <c r="M72" s="1">
        <f>judgement[[#This Row],[safety_1]]^2</f>
        <v>625</v>
      </c>
    </row>
    <row r="73" spans="1:13" x14ac:dyDescent="0.2">
      <c r="A73">
        <v>71</v>
      </c>
      <c r="B73">
        <v>1</v>
      </c>
      <c r="C73">
        <v>0.78</v>
      </c>
      <c r="D73">
        <v>5</v>
      </c>
      <c r="E73">
        <v>15</v>
      </c>
      <c r="F73">
        <v>20</v>
      </c>
      <c r="G73">
        <v>25</v>
      </c>
      <c r="H73">
        <v>20</v>
      </c>
      <c r="I73">
        <v>35</v>
      </c>
      <c r="J73">
        <f>(judgement[[#This Row],[winner]]-1.5)*2*judgement[[#This Row],[confidence]]</f>
        <v>-0.78</v>
      </c>
      <c r="K73" s="1">
        <f>judgement[[#This Row],[accuracy_1]]^2</f>
        <v>25</v>
      </c>
      <c r="L73" s="1">
        <f>judgement[[#This Row],[completeness_1]]^2</f>
        <v>225</v>
      </c>
      <c r="M73" s="1">
        <f>judgement[[#This Row],[safety_1]]^2</f>
        <v>400</v>
      </c>
    </row>
    <row r="74" spans="1:13" x14ac:dyDescent="0.2">
      <c r="A74">
        <v>72</v>
      </c>
      <c r="B74">
        <v>2</v>
      </c>
      <c r="C74">
        <v>0.78</v>
      </c>
      <c r="D74">
        <v>78</v>
      </c>
      <c r="E74">
        <v>70</v>
      </c>
      <c r="F74">
        <v>75</v>
      </c>
      <c r="G74">
        <v>55</v>
      </c>
      <c r="H74">
        <v>55</v>
      </c>
      <c r="I74">
        <v>70</v>
      </c>
      <c r="J74">
        <f>(judgement[[#This Row],[winner]]-1.5)*2*judgement[[#This Row],[confidence]]</f>
        <v>0.78</v>
      </c>
      <c r="K74" s="1">
        <f>judgement[[#This Row],[accuracy_1]]^2</f>
        <v>6084</v>
      </c>
      <c r="L74" s="1">
        <f>judgement[[#This Row],[completeness_1]]^2</f>
        <v>4900</v>
      </c>
      <c r="M74" s="1">
        <f>judgement[[#This Row],[safety_1]]^2</f>
        <v>5625</v>
      </c>
    </row>
    <row r="75" spans="1:13" x14ac:dyDescent="0.2">
      <c r="A75">
        <v>73</v>
      </c>
      <c r="B75">
        <v>1</v>
      </c>
      <c r="C75">
        <v>0.62</v>
      </c>
      <c r="D75">
        <v>35</v>
      </c>
      <c r="E75">
        <v>40</v>
      </c>
      <c r="F75">
        <v>95</v>
      </c>
      <c r="G75">
        <v>70</v>
      </c>
      <c r="H75">
        <v>72</v>
      </c>
      <c r="I75">
        <v>90</v>
      </c>
      <c r="J75">
        <f>(judgement[[#This Row],[winner]]-1.5)*2*judgement[[#This Row],[confidence]]</f>
        <v>-0.62</v>
      </c>
      <c r="K75" s="1">
        <f>judgement[[#This Row],[accuracy_1]]^2</f>
        <v>1225</v>
      </c>
      <c r="L75" s="1">
        <f>judgement[[#This Row],[completeness_1]]^2</f>
        <v>1600</v>
      </c>
      <c r="M75" s="1">
        <f>judgement[[#This Row],[safety_1]]^2</f>
        <v>9025</v>
      </c>
    </row>
    <row r="76" spans="1:13" x14ac:dyDescent="0.2">
      <c r="A76">
        <v>74</v>
      </c>
      <c r="B76">
        <v>1</v>
      </c>
      <c r="C76">
        <v>0.78</v>
      </c>
      <c r="D76">
        <v>70</v>
      </c>
      <c r="E76">
        <v>65</v>
      </c>
      <c r="F76">
        <v>70</v>
      </c>
      <c r="G76">
        <v>45</v>
      </c>
      <c r="H76">
        <v>55</v>
      </c>
      <c r="I76">
        <v>75</v>
      </c>
      <c r="J76">
        <f>(judgement[[#This Row],[winner]]-1.5)*2*judgement[[#This Row],[confidence]]</f>
        <v>-0.78</v>
      </c>
      <c r="K76" s="1">
        <f>judgement[[#This Row],[accuracy_1]]^2</f>
        <v>4900</v>
      </c>
      <c r="L76" s="1">
        <f>judgement[[#This Row],[completeness_1]]^2</f>
        <v>4225</v>
      </c>
      <c r="M76" s="1">
        <f>judgement[[#This Row],[safety_1]]^2</f>
        <v>4900</v>
      </c>
    </row>
    <row r="77" spans="1:13" x14ac:dyDescent="0.2">
      <c r="A77">
        <v>75</v>
      </c>
      <c r="B77">
        <v>1</v>
      </c>
      <c r="C77">
        <v>0.62</v>
      </c>
      <c r="D77">
        <v>5</v>
      </c>
      <c r="E77">
        <v>20</v>
      </c>
      <c r="F77">
        <v>75</v>
      </c>
      <c r="G77">
        <v>25</v>
      </c>
      <c r="H77">
        <v>30</v>
      </c>
      <c r="I77">
        <v>70</v>
      </c>
      <c r="J77">
        <f>(judgement[[#This Row],[winner]]-1.5)*2*judgement[[#This Row],[confidence]]</f>
        <v>-0.62</v>
      </c>
      <c r="K77" s="1">
        <f>judgement[[#This Row],[accuracy_1]]^2</f>
        <v>25</v>
      </c>
      <c r="L77" s="1">
        <f>judgement[[#This Row],[completeness_1]]^2</f>
        <v>400</v>
      </c>
      <c r="M77" s="1">
        <f>judgement[[#This Row],[safety_1]]^2</f>
        <v>5625</v>
      </c>
    </row>
    <row r="78" spans="1:13" x14ac:dyDescent="0.2">
      <c r="A78">
        <v>76</v>
      </c>
      <c r="B78">
        <v>1</v>
      </c>
      <c r="C78">
        <v>0.55000000000000004</v>
      </c>
      <c r="D78">
        <v>78</v>
      </c>
      <c r="E78">
        <v>55</v>
      </c>
      <c r="F78">
        <v>95</v>
      </c>
      <c r="G78">
        <v>82</v>
      </c>
      <c r="H78">
        <v>58</v>
      </c>
      <c r="I78">
        <v>95</v>
      </c>
      <c r="J78">
        <f>(judgement[[#This Row],[winner]]-1.5)*2*judgement[[#This Row],[confidence]]</f>
        <v>-0.55000000000000004</v>
      </c>
      <c r="K78" s="1">
        <f>judgement[[#This Row],[accuracy_1]]^2</f>
        <v>6084</v>
      </c>
      <c r="L78" s="1">
        <f>judgement[[#This Row],[completeness_1]]^2</f>
        <v>3025</v>
      </c>
      <c r="M78" s="1">
        <f>judgement[[#This Row],[safety_1]]^2</f>
        <v>9025</v>
      </c>
    </row>
    <row r="79" spans="1:13" x14ac:dyDescent="0.2">
      <c r="A79">
        <v>77</v>
      </c>
      <c r="B79">
        <v>2</v>
      </c>
      <c r="C79">
        <v>0.62</v>
      </c>
      <c r="D79">
        <v>92</v>
      </c>
      <c r="E79">
        <v>75</v>
      </c>
      <c r="F79">
        <v>88</v>
      </c>
      <c r="G79">
        <v>90</v>
      </c>
      <c r="H79">
        <v>72</v>
      </c>
      <c r="I79">
        <v>88</v>
      </c>
      <c r="J79">
        <f>(judgement[[#This Row],[winner]]-1.5)*2*judgement[[#This Row],[confidence]]</f>
        <v>0.62</v>
      </c>
      <c r="K79" s="1">
        <f>judgement[[#This Row],[accuracy_1]]^2</f>
        <v>8464</v>
      </c>
      <c r="L79" s="1">
        <f>judgement[[#This Row],[completeness_1]]^2</f>
        <v>5625</v>
      </c>
      <c r="M79" s="1">
        <f>judgement[[#This Row],[safety_1]]^2</f>
        <v>7744</v>
      </c>
    </row>
    <row r="80" spans="1:13" x14ac:dyDescent="0.2">
      <c r="A80">
        <v>78</v>
      </c>
      <c r="B80">
        <v>2</v>
      </c>
      <c r="C80">
        <v>0.62</v>
      </c>
      <c r="D80">
        <v>82</v>
      </c>
      <c r="E80">
        <v>70</v>
      </c>
      <c r="F80">
        <v>85</v>
      </c>
      <c r="G80">
        <v>78</v>
      </c>
      <c r="H80">
        <v>72</v>
      </c>
      <c r="I80">
        <v>78</v>
      </c>
      <c r="J80">
        <f>(judgement[[#This Row],[winner]]-1.5)*2*judgement[[#This Row],[confidence]]</f>
        <v>0.62</v>
      </c>
      <c r="K80" s="1">
        <f>judgement[[#This Row],[accuracy_1]]^2</f>
        <v>6724</v>
      </c>
      <c r="L80" s="1">
        <f>judgement[[#This Row],[completeness_1]]^2</f>
        <v>4900</v>
      </c>
      <c r="M80" s="1">
        <f>judgement[[#This Row],[safety_1]]^2</f>
        <v>7225</v>
      </c>
    </row>
    <row r="81" spans="1:13" x14ac:dyDescent="0.2">
      <c r="A81">
        <v>79</v>
      </c>
      <c r="B81">
        <v>2</v>
      </c>
      <c r="C81">
        <v>0.62</v>
      </c>
      <c r="D81">
        <v>55</v>
      </c>
      <c r="E81">
        <v>55</v>
      </c>
      <c r="F81">
        <v>78</v>
      </c>
      <c r="G81">
        <v>65</v>
      </c>
      <c r="H81">
        <v>58</v>
      </c>
      <c r="I81">
        <v>80</v>
      </c>
      <c r="J81">
        <f>(judgement[[#This Row],[winner]]-1.5)*2*judgement[[#This Row],[confidence]]</f>
        <v>0.62</v>
      </c>
      <c r="K81" s="1">
        <f>judgement[[#This Row],[accuracy_1]]^2</f>
        <v>3025</v>
      </c>
      <c r="L81" s="1">
        <f>judgement[[#This Row],[completeness_1]]^2</f>
        <v>3025</v>
      </c>
      <c r="M81" s="1">
        <f>judgement[[#This Row],[safety_1]]^2</f>
        <v>6084</v>
      </c>
    </row>
    <row r="82" spans="1:13" x14ac:dyDescent="0.2">
      <c r="A82">
        <v>80</v>
      </c>
      <c r="B82">
        <v>2</v>
      </c>
      <c r="C82">
        <v>0.62</v>
      </c>
      <c r="D82">
        <v>20</v>
      </c>
      <c r="E82">
        <v>35</v>
      </c>
      <c r="F82">
        <v>55</v>
      </c>
      <c r="G82">
        <v>45</v>
      </c>
      <c r="H82">
        <v>45</v>
      </c>
      <c r="I82">
        <v>70</v>
      </c>
      <c r="J82">
        <f>(judgement[[#This Row],[winner]]-1.5)*2*judgement[[#This Row],[confidence]]</f>
        <v>0.62</v>
      </c>
      <c r="K82" s="1">
        <f>judgement[[#This Row],[accuracy_1]]^2</f>
        <v>400</v>
      </c>
      <c r="L82" s="1">
        <f>judgement[[#This Row],[completeness_1]]^2</f>
        <v>1225</v>
      </c>
      <c r="M82" s="1">
        <f>judgement[[#This Row],[safety_1]]^2</f>
        <v>3025</v>
      </c>
    </row>
    <row r="83" spans="1:13" x14ac:dyDescent="0.2">
      <c r="A83">
        <v>81</v>
      </c>
      <c r="B83">
        <v>2</v>
      </c>
      <c r="C83">
        <v>0.62</v>
      </c>
      <c r="D83">
        <v>60</v>
      </c>
      <c r="E83">
        <v>55</v>
      </c>
      <c r="F83">
        <v>82</v>
      </c>
      <c r="G83">
        <v>55</v>
      </c>
      <c r="H83">
        <v>60</v>
      </c>
      <c r="I83">
        <v>78</v>
      </c>
      <c r="J83">
        <f>(judgement[[#This Row],[winner]]-1.5)*2*judgement[[#This Row],[confidence]]</f>
        <v>0.62</v>
      </c>
      <c r="K83" s="1">
        <f>judgement[[#This Row],[accuracy_1]]^2</f>
        <v>3600</v>
      </c>
      <c r="L83" s="1">
        <f>judgement[[#This Row],[completeness_1]]^2</f>
        <v>3025</v>
      </c>
      <c r="M83" s="1">
        <f>judgement[[#This Row],[safety_1]]^2</f>
        <v>6724</v>
      </c>
    </row>
    <row r="84" spans="1:13" x14ac:dyDescent="0.2">
      <c r="A84">
        <v>82</v>
      </c>
      <c r="B84">
        <v>2</v>
      </c>
      <c r="C84">
        <v>0.72</v>
      </c>
      <c r="D84">
        <v>55</v>
      </c>
      <c r="E84">
        <v>55</v>
      </c>
      <c r="F84">
        <v>65</v>
      </c>
      <c r="G84">
        <v>35</v>
      </c>
      <c r="H84">
        <v>40</v>
      </c>
      <c r="I84">
        <v>70</v>
      </c>
      <c r="J84">
        <f>(judgement[[#This Row],[winner]]-1.5)*2*judgement[[#This Row],[confidence]]</f>
        <v>0.72</v>
      </c>
      <c r="K84" s="1">
        <f>judgement[[#This Row],[accuracy_1]]^2</f>
        <v>3025</v>
      </c>
      <c r="L84" s="1">
        <f>judgement[[#This Row],[completeness_1]]^2</f>
        <v>3025</v>
      </c>
      <c r="M84" s="1">
        <f>judgement[[#This Row],[safety_1]]^2</f>
        <v>4225</v>
      </c>
    </row>
    <row r="85" spans="1:13" x14ac:dyDescent="0.2">
      <c r="A85">
        <v>83</v>
      </c>
      <c r="B85">
        <v>1</v>
      </c>
      <c r="C85">
        <v>0.62</v>
      </c>
      <c r="D85">
        <v>84</v>
      </c>
      <c r="E85">
        <v>80</v>
      </c>
      <c r="F85">
        <v>88</v>
      </c>
      <c r="G85">
        <v>90</v>
      </c>
      <c r="H85">
        <v>78</v>
      </c>
      <c r="I85">
        <v>92</v>
      </c>
      <c r="J85">
        <f>(judgement[[#This Row],[winner]]-1.5)*2*judgement[[#This Row],[confidence]]</f>
        <v>-0.62</v>
      </c>
      <c r="K85" s="1">
        <f>judgement[[#This Row],[accuracy_1]]^2</f>
        <v>7056</v>
      </c>
      <c r="L85" s="1">
        <f>judgement[[#This Row],[completeness_1]]^2</f>
        <v>6400</v>
      </c>
      <c r="M85" s="1">
        <f>judgement[[#This Row],[safety_1]]^2</f>
        <v>7744</v>
      </c>
    </row>
    <row r="86" spans="1:13" x14ac:dyDescent="0.2">
      <c r="A86">
        <v>84</v>
      </c>
      <c r="B86">
        <v>1</v>
      </c>
      <c r="C86">
        <v>0.55000000000000004</v>
      </c>
      <c r="D86">
        <v>90</v>
      </c>
      <c r="E86">
        <v>68</v>
      </c>
      <c r="F86">
        <v>95</v>
      </c>
      <c r="G86">
        <v>90</v>
      </c>
      <c r="H86">
        <v>70</v>
      </c>
      <c r="I86">
        <v>95</v>
      </c>
      <c r="J86">
        <f>(judgement[[#This Row],[winner]]-1.5)*2*judgement[[#This Row],[confidence]]</f>
        <v>-0.55000000000000004</v>
      </c>
      <c r="K86" s="1">
        <f>judgement[[#This Row],[accuracy_1]]^2</f>
        <v>8100</v>
      </c>
      <c r="L86" s="1">
        <f>judgement[[#This Row],[completeness_1]]^2</f>
        <v>4624</v>
      </c>
      <c r="M86" s="1">
        <f>judgement[[#This Row],[safety_1]]^2</f>
        <v>9025</v>
      </c>
    </row>
    <row r="87" spans="1:13" x14ac:dyDescent="0.2">
      <c r="A87">
        <v>85</v>
      </c>
      <c r="B87">
        <v>1</v>
      </c>
      <c r="C87">
        <v>0.86</v>
      </c>
      <c r="D87">
        <v>35</v>
      </c>
      <c r="E87">
        <v>60</v>
      </c>
      <c r="F87">
        <v>70</v>
      </c>
      <c r="G87">
        <v>78</v>
      </c>
      <c r="H87">
        <v>72</v>
      </c>
      <c r="I87">
        <v>85</v>
      </c>
      <c r="J87">
        <f>(judgement[[#This Row],[winner]]-1.5)*2*judgement[[#This Row],[confidence]]</f>
        <v>-0.86</v>
      </c>
      <c r="K87" s="1">
        <f>judgement[[#This Row],[accuracy_1]]^2</f>
        <v>1225</v>
      </c>
      <c r="L87" s="1">
        <f>judgement[[#This Row],[completeness_1]]^2</f>
        <v>3600</v>
      </c>
      <c r="M87" s="1">
        <f>judgement[[#This Row],[safety_1]]^2</f>
        <v>4900</v>
      </c>
    </row>
    <row r="88" spans="1:13" x14ac:dyDescent="0.2">
      <c r="A88">
        <v>86</v>
      </c>
      <c r="B88">
        <v>1</v>
      </c>
      <c r="C88">
        <v>0.62</v>
      </c>
      <c r="D88">
        <v>55</v>
      </c>
      <c r="E88">
        <v>55</v>
      </c>
      <c r="F88">
        <v>70</v>
      </c>
      <c r="G88">
        <v>40</v>
      </c>
      <c r="H88">
        <v>45</v>
      </c>
      <c r="I88">
        <v>80</v>
      </c>
      <c r="J88">
        <f>(judgement[[#This Row],[winner]]-1.5)*2*judgement[[#This Row],[confidence]]</f>
        <v>-0.62</v>
      </c>
      <c r="K88" s="1">
        <f>judgement[[#This Row],[accuracy_1]]^2</f>
        <v>3025</v>
      </c>
      <c r="L88" s="1">
        <f>judgement[[#This Row],[completeness_1]]^2</f>
        <v>3025</v>
      </c>
      <c r="M88" s="1">
        <f>judgement[[#This Row],[safety_1]]^2</f>
        <v>4900</v>
      </c>
    </row>
    <row r="89" spans="1:13" x14ac:dyDescent="0.2">
      <c r="A89">
        <v>87</v>
      </c>
      <c r="B89">
        <v>1</v>
      </c>
      <c r="C89">
        <v>0.45</v>
      </c>
      <c r="D89">
        <v>70</v>
      </c>
      <c r="E89">
        <v>60</v>
      </c>
      <c r="F89">
        <v>85</v>
      </c>
      <c r="G89">
        <v>70</v>
      </c>
      <c r="H89">
        <v>60</v>
      </c>
      <c r="I89">
        <v>85</v>
      </c>
      <c r="J89">
        <f>(judgement[[#This Row],[winner]]-1.5)*2*judgement[[#This Row],[confidence]]</f>
        <v>-0.45</v>
      </c>
      <c r="K89" s="1">
        <f>judgement[[#This Row],[accuracy_1]]^2</f>
        <v>4900</v>
      </c>
      <c r="L89" s="1">
        <f>judgement[[#This Row],[completeness_1]]^2</f>
        <v>3600</v>
      </c>
      <c r="M89" s="1">
        <f>judgement[[#This Row],[safety_1]]^2</f>
        <v>7225</v>
      </c>
    </row>
    <row r="90" spans="1:13" x14ac:dyDescent="0.2">
      <c r="A90">
        <v>88</v>
      </c>
      <c r="B90">
        <v>1</v>
      </c>
      <c r="C90">
        <v>0.93</v>
      </c>
      <c r="D90">
        <v>85</v>
      </c>
      <c r="E90">
        <v>78</v>
      </c>
      <c r="F90">
        <v>90</v>
      </c>
      <c r="G90">
        <v>25</v>
      </c>
      <c r="H90">
        <v>35</v>
      </c>
      <c r="I90">
        <v>40</v>
      </c>
      <c r="J90">
        <f>(judgement[[#This Row],[winner]]-1.5)*2*judgement[[#This Row],[confidence]]</f>
        <v>-0.93</v>
      </c>
      <c r="K90" s="1">
        <f>judgement[[#This Row],[accuracy_1]]^2</f>
        <v>7225</v>
      </c>
      <c r="L90" s="1">
        <f>judgement[[#This Row],[completeness_1]]^2</f>
        <v>6084</v>
      </c>
      <c r="M90" s="1">
        <f>judgement[[#This Row],[safety_1]]^2</f>
        <v>8100</v>
      </c>
    </row>
    <row r="91" spans="1:13" x14ac:dyDescent="0.2">
      <c r="A91">
        <v>89</v>
      </c>
      <c r="B91">
        <v>2</v>
      </c>
      <c r="C91">
        <v>0.62</v>
      </c>
      <c r="D91">
        <v>35</v>
      </c>
      <c r="E91">
        <v>45</v>
      </c>
      <c r="F91">
        <v>70</v>
      </c>
      <c r="G91">
        <v>60</v>
      </c>
      <c r="H91">
        <v>60</v>
      </c>
      <c r="I91">
        <v>55</v>
      </c>
      <c r="J91">
        <f>(judgement[[#This Row],[winner]]-1.5)*2*judgement[[#This Row],[confidence]]</f>
        <v>0.62</v>
      </c>
      <c r="K91" s="1">
        <f>judgement[[#This Row],[accuracy_1]]^2</f>
        <v>1225</v>
      </c>
      <c r="L91" s="1">
        <f>judgement[[#This Row],[completeness_1]]^2</f>
        <v>2025</v>
      </c>
      <c r="M91" s="1">
        <f>judgement[[#This Row],[safety_1]]^2</f>
        <v>4900</v>
      </c>
    </row>
    <row r="92" spans="1:13" x14ac:dyDescent="0.2">
      <c r="A92">
        <v>90</v>
      </c>
      <c r="B92">
        <v>2</v>
      </c>
      <c r="C92">
        <v>0.86</v>
      </c>
      <c r="D92">
        <v>55</v>
      </c>
      <c r="E92">
        <v>45</v>
      </c>
      <c r="F92">
        <v>70</v>
      </c>
      <c r="G92">
        <v>15</v>
      </c>
      <c r="H92">
        <v>25</v>
      </c>
      <c r="I92">
        <v>35</v>
      </c>
      <c r="J92">
        <f>(judgement[[#This Row],[winner]]-1.5)*2*judgement[[#This Row],[confidence]]</f>
        <v>0.86</v>
      </c>
      <c r="K92" s="1">
        <f>judgement[[#This Row],[accuracy_1]]^2</f>
        <v>3025</v>
      </c>
      <c r="L92" s="1">
        <f>judgement[[#This Row],[completeness_1]]^2</f>
        <v>2025</v>
      </c>
      <c r="M92" s="1">
        <f>judgement[[#This Row],[safety_1]]^2</f>
        <v>4900</v>
      </c>
    </row>
    <row r="93" spans="1:13" x14ac:dyDescent="0.2">
      <c r="A93">
        <v>91</v>
      </c>
      <c r="B93">
        <v>1</v>
      </c>
      <c r="C93">
        <v>0.62</v>
      </c>
      <c r="D93">
        <v>88</v>
      </c>
      <c r="E93">
        <v>78</v>
      </c>
      <c r="F93">
        <v>86</v>
      </c>
      <c r="G93">
        <v>82</v>
      </c>
      <c r="H93">
        <v>72</v>
      </c>
      <c r="I93">
        <v>84</v>
      </c>
      <c r="J93">
        <f>(judgement[[#This Row],[winner]]-1.5)*2*judgement[[#This Row],[confidence]]</f>
        <v>-0.62</v>
      </c>
      <c r="K93" s="1">
        <f>judgement[[#This Row],[accuracy_1]]^2</f>
        <v>7744</v>
      </c>
      <c r="L93" s="1">
        <f>judgement[[#This Row],[completeness_1]]^2</f>
        <v>6084</v>
      </c>
      <c r="M93" s="1">
        <f>judgement[[#This Row],[safety_1]]^2</f>
        <v>7396</v>
      </c>
    </row>
    <row r="94" spans="1:13" x14ac:dyDescent="0.2">
      <c r="A94">
        <v>92</v>
      </c>
      <c r="B94">
        <v>1</v>
      </c>
      <c r="C94">
        <v>0.62</v>
      </c>
      <c r="D94">
        <v>86</v>
      </c>
      <c r="E94">
        <v>55</v>
      </c>
      <c r="F94">
        <v>78</v>
      </c>
      <c r="G94">
        <v>88</v>
      </c>
      <c r="H94">
        <v>72</v>
      </c>
      <c r="I94">
        <v>90</v>
      </c>
      <c r="J94">
        <f>(judgement[[#This Row],[winner]]-1.5)*2*judgement[[#This Row],[confidence]]</f>
        <v>-0.62</v>
      </c>
      <c r="K94" s="1">
        <f>judgement[[#This Row],[accuracy_1]]^2</f>
        <v>7396</v>
      </c>
      <c r="L94" s="1">
        <f>judgement[[#This Row],[completeness_1]]^2</f>
        <v>3025</v>
      </c>
      <c r="M94" s="1">
        <f>judgement[[#This Row],[safety_1]]^2</f>
        <v>6084</v>
      </c>
    </row>
    <row r="95" spans="1:13" x14ac:dyDescent="0.2">
      <c r="A95">
        <v>93</v>
      </c>
      <c r="B95">
        <v>1</v>
      </c>
      <c r="C95">
        <v>0.78</v>
      </c>
      <c r="D95">
        <v>55</v>
      </c>
      <c r="E95">
        <v>52</v>
      </c>
      <c r="F95">
        <v>70</v>
      </c>
      <c r="G95">
        <v>25</v>
      </c>
      <c r="H95">
        <v>45</v>
      </c>
      <c r="I95">
        <v>40</v>
      </c>
      <c r="J95">
        <f>(judgement[[#This Row],[winner]]-1.5)*2*judgement[[#This Row],[confidence]]</f>
        <v>-0.78</v>
      </c>
      <c r="K95" s="1">
        <f>judgement[[#This Row],[accuracy_1]]^2</f>
        <v>3025</v>
      </c>
      <c r="L95" s="1">
        <f>judgement[[#This Row],[completeness_1]]^2</f>
        <v>2704</v>
      </c>
      <c r="M95" s="1">
        <f>judgement[[#This Row],[safety_1]]^2</f>
        <v>4900</v>
      </c>
    </row>
    <row r="96" spans="1:13" x14ac:dyDescent="0.2">
      <c r="A96">
        <v>94</v>
      </c>
      <c r="B96">
        <v>2</v>
      </c>
      <c r="C96">
        <v>0.62</v>
      </c>
      <c r="D96">
        <v>55</v>
      </c>
      <c r="E96">
        <v>55</v>
      </c>
      <c r="F96">
        <v>80</v>
      </c>
      <c r="G96">
        <v>70</v>
      </c>
      <c r="H96">
        <v>65</v>
      </c>
      <c r="I96">
        <v>85</v>
      </c>
      <c r="J96">
        <f>(judgement[[#This Row],[winner]]-1.5)*2*judgement[[#This Row],[confidence]]</f>
        <v>0.62</v>
      </c>
      <c r="K96" s="1">
        <f>judgement[[#This Row],[accuracy_1]]^2</f>
        <v>3025</v>
      </c>
      <c r="L96" s="1">
        <f>judgement[[#This Row],[completeness_1]]^2</f>
        <v>3025</v>
      </c>
      <c r="M96" s="1">
        <f>judgement[[#This Row],[safety_1]]^2</f>
        <v>6400</v>
      </c>
    </row>
    <row r="97" spans="1:13" x14ac:dyDescent="0.2">
      <c r="A97">
        <v>95</v>
      </c>
      <c r="B97">
        <v>1</v>
      </c>
      <c r="C97">
        <v>0.62</v>
      </c>
      <c r="D97">
        <v>78</v>
      </c>
      <c r="E97">
        <v>72</v>
      </c>
      <c r="F97">
        <v>88</v>
      </c>
      <c r="G97">
        <v>80</v>
      </c>
      <c r="H97">
        <v>45</v>
      </c>
      <c r="I97">
        <v>86</v>
      </c>
      <c r="J97">
        <f>(judgement[[#This Row],[winner]]-1.5)*2*judgement[[#This Row],[confidence]]</f>
        <v>-0.62</v>
      </c>
      <c r="K97" s="1">
        <f>judgement[[#This Row],[accuracy_1]]^2</f>
        <v>6084</v>
      </c>
      <c r="L97" s="1">
        <f>judgement[[#This Row],[completeness_1]]^2</f>
        <v>5184</v>
      </c>
      <c r="M97" s="1">
        <f>judgement[[#This Row],[safety_1]]^2</f>
        <v>7744</v>
      </c>
    </row>
    <row r="98" spans="1:13" x14ac:dyDescent="0.2">
      <c r="A98">
        <v>96</v>
      </c>
      <c r="B98">
        <v>2</v>
      </c>
      <c r="C98">
        <v>0.86</v>
      </c>
      <c r="D98">
        <v>35</v>
      </c>
      <c r="E98">
        <v>55</v>
      </c>
      <c r="F98">
        <v>70</v>
      </c>
      <c r="G98">
        <v>85</v>
      </c>
      <c r="H98">
        <v>70</v>
      </c>
      <c r="I98">
        <v>85</v>
      </c>
      <c r="J98">
        <f>(judgement[[#This Row],[winner]]-1.5)*2*judgement[[#This Row],[confidence]]</f>
        <v>0.86</v>
      </c>
      <c r="K98" s="1">
        <f>judgement[[#This Row],[accuracy_1]]^2</f>
        <v>1225</v>
      </c>
      <c r="L98" s="1">
        <f>judgement[[#This Row],[completeness_1]]^2</f>
        <v>3025</v>
      </c>
      <c r="M98" s="1">
        <f>judgement[[#This Row],[safety_1]]^2</f>
        <v>4900</v>
      </c>
    </row>
    <row r="99" spans="1:13" x14ac:dyDescent="0.2">
      <c r="A99">
        <v>97</v>
      </c>
      <c r="B99">
        <v>1</v>
      </c>
      <c r="C99">
        <v>0.45</v>
      </c>
      <c r="D99">
        <v>20</v>
      </c>
      <c r="E99">
        <v>25</v>
      </c>
      <c r="F99">
        <v>70</v>
      </c>
      <c r="G99">
        <v>20</v>
      </c>
      <c r="H99">
        <v>25</v>
      </c>
      <c r="I99">
        <v>70</v>
      </c>
      <c r="J99">
        <f>(judgement[[#This Row],[winner]]-1.5)*2*judgement[[#This Row],[confidence]]</f>
        <v>-0.45</v>
      </c>
      <c r="K99" s="1">
        <f>judgement[[#This Row],[accuracy_1]]^2</f>
        <v>400</v>
      </c>
      <c r="L99" s="1">
        <f>judgement[[#This Row],[completeness_1]]^2</f>
        <v>625</v>
      </c>
      <c r="M99" s="1">
        <f>judgement[[#This Row],[safety_1]]^2</f>
        <v>4900</v>
      </c>
    </row>
    <row r="100" spans="1:13" x14ac:dyDescent="0.2">
      <c r="A100">
        <v>98</v>
      </c>
      <c r="B100">
        <v>2</v>
      </c>
      <c r="C100">
        <v>0.62</v>
      </c>
      <c r="D100">
        <v>35</v>
      </c>
      <c r="E100">
        <v>40</v>
      </c>
      <c r="F100">
        <v>70</v>
      </c>
      <c r="G100">
        <v>45</v>
      </c>
      <c r="H100">
        <v>50</v>
      </c>
      <c r="I100">
        <v>65</v>
      </c>
      <c r="J100">
        <f>(judgement[[#This Row],[winner]]-1.5)*2*judgement[[#This Row],[confidence]]</f>
        <v>0.62</v>
      </c>
      <c r="K100" s="1">
        <f>judgement[[#This Row],[accuracy_1]]^2</f>
        <v>1225</v>
      </c>
      <c r="L100" s="1">
        <f>judgement[[#This Row],[completeness_1]]^2</f>
        <v>1600</v>
      </c>
      <c r="M100" s="1">
        <f>judgement[[#This Row],[safety_1]]^2</f>
        <v>4900</v>
      </c>
    </row>
    <row r="101" spans="1:13" x14ac:dyDescent="0.2">
      <c r="A101">
        <v>99</v>
      </c>
      <c r="B101">
        <v>1</v>
      </c>
      <c r="C101">
        <v>0.62</v>
      </c>
      <c r="D101">
        <v>20</v>
      </c>
      <c r="E101">
        <v>35</v>
      </c>
      <c r="F101">
        <v>60</v>
      </c>
      <c r="G101">
        <v>35</v>
      </c>
      <c r="H101">
        <v>40</v>
      </c>
      <c r="I101">
        <v>70</v>
      </c>
      <c r="J101">
        <f>(judgement[[#This Row],[winner]]-1.5)*2*judgement[[#This Row],[confidence]]</f>
        <v>-0.62</v>
      </c>
      <c r="K101" s="1">
        <f>judgement[[#This Row],[accuracy_1]]^2</f>
        <v>400</v>
      </c>
      <c r="L101" s="1">
        <f>judgement[[#This Row],[completeness_1]]^2</f>
        <v>1225</v>
      </c>
      <c r="M101" s="1">
        <f>judgement[[#This Row],[safety_1]]^2</f>
        <v>3600</v>
      </c>
    </row>
    <row r="102" spans="1:13" x14ac:dyDescent="0.2">
      <c r="A102">
        <v>100</v>
      </c>
      <c r="B102">
        <v>2</v>
      </c>
      <c r="C102">
        <v>0.62</v>
      </c>
      <c r="D102">
        <v>65</v>
      </c>
      <c r="E102">
        <v>55</v>
      </c>
      <c r="F102">
        <v>90</v>
      </c>
      <c r="G102">
        <v>55</v>
      </c>
      <c r="H102">
        <v>60</v>
      </c>
      <c r="I102">
        <v>85</v>
      </c>
      <c r="J102">
        <f>(judgement[[#This Row],[winner]]-1.5)*2*judgement[[#This Row],[confidence]]</f>
        <v>0.62</v>
      </c>
      <c r="K102" s="1">
        <f>judgement[[#This Row],[accuracy_1]]^2</f>
        <v>4225</v>
      </c>
      <c r="L102" s="1">
        <f>judgement[[#This Row],[completeness_1]]^2</f>
        <v>3025</v>
      </c>
      <c r="M102" s="1">
        <f>judgement[[#This Row],[safety_1]]^2</f>
        <v>8100</v>
      </c>
    </row>
    <row r="103" spans="1:13" x14ac:dyDescent="0.2">
      <c r="A103">
        <v>101</v>
      </c>
      <c r="B103">
        <v>1</v>
      </c>
      <c r="C103">
        <v>0.55000000000000004</v>
      </c>
      <c r="D103">
        <v>95</v>
      </c>
      <c r="E103">
        <v>80</v>
      </c>
      <c r="F103">
        <v>95</v>
      </c>
      <c r="G103">
        <v>95</v>
      </c>
      <c r="H103">
        <v>78</v>
      </c>
      <c r="I103">
        <v>95</v>
      </c>
      <c r="J103">
        <f>(judgement[[#This Row],[winner]]-1.5)*2*judgement[[#This Row],[confidence]]</f>
        <v>-0.55000000000000004</v>
      </c>
      <c r="K103" s="1">
        <f>judgement[[#This Row],[accuracy_1]]^2</f>
        <v>9025</v>
      </c>
      <c r="L103" s="1">
        <f>judgement[[#This Row],[completeness_1]]^2</f>
        <v>6400</v>
      </c>
      <c r="M103" s="1">
        <f>judgement[[#This Row],[safety_1]]^2</f>
        <v>9025</v>
      </c>
    </row>
    <row r="104" spans="1:13" x14ac:dyDescent="0.2">
      <c r="A104">
        <v>102</v>
      </c>
      <c r="B104">
        <v>1</v>
      </c>
      <c r="C104">
        <v>0.62</v>
      </c>
      <c r="D104">
        <v>45</v>
      </c>
      <c r="E104">
        <v>35</v>
      </c>
      <c r="F104">
        <v>60</v>
      </c>
      <c r="G104">
        <v>72</v>
      </c>
      <c r="H104">
        <v>55</v>
      </c>
      <c r="I104">
        <v>85</v>
      </c>
      <c r="J104">
        <f>(judgement[[#This Row],[winner]]-1.5)*2*judgement[[#This Row],[confidence]]</f>
        <v>-0.62</v>
      </c>
      <c r="K104" s="1">
        <f>judgement[[#This Row],[accuracy_1]]^2</f>
        <v>2025</v>
      </c>
      <c r="L104" s="1">
        <f>judgement[[#This Row],[completeness_1]]^2</f>
        <v>1225</v>
      </c>
      <c r="M104" s="1">
        <f>judgement[[#This Row],[safety_1]]^2</f>
        <v>3600</v>
      </c>
    </row>
    <row r="105" spans="1:13" x14ac:dyDescent="0.2">
      <c r="A105">
        <v>103</v>
      </c>
      <c r="B105">
        <v>1</v>
      </c>
      <c r="C105">
        <v>0.62</v>
      </c>
      <c r="D105">
        <v>55</v>
      </c>
      <c r="E105">
        <v>60</v>
      </c>
      <c r="F105">
        <v>75</v>
      </c>
      <c r="G105">
        <v>40</v>
      </c>
      <c r="H105">
        <v>45</v>
      </c>
      <c r="I105">
        <v>55</v>
      </c>
      <c r="J105">
        <f>(judgement[[#This Row],[winner]]-1.5)*2*judgement[[#This Row],[confidence]]</f>
        <v>-0.62</v>
      </c>
      <c r="K105" s="1">
        <f>judgement[[#This Row],[accuracy_1]]^2</f>
        <v>3025</v>
      </c>
      <c r="L105" s="1">
        <f>judgement[[#This Row],[completeness_1]]^2</f>
        <v>3600</v>
      </c>
      <c r="M105" s="1">
        <f>judgement[[#This Row],[safety_1]]^2</f>
        <v>5625</v>
      </c>
    </row>
    <row r="106" spans="1:13" x14ac:dyDescent="0.2">
      <c r="A106">
        <v>104</v>
      </c>
      <c r="B106">
        <v>2</v>
      </c>
      <c r="C106">
        <v>0.93</v>
      </c>
      <c r="D106">
        <v>90</v>
      </c>
      <c r="E106">
        <v>80</v>
      </c>
      <c r="F106">
        <v>90</v>
      </c>
      <c r="G106">
        <v>35</v>
      </c>
      <c r="H106">
        <v>55</v>
      </c>
      <c r="I106">
        <v>70</v>
      </c>
      <c r="J106">
        <f>(judgement[[#This Row],[winner]]-1.5)*2*judgement[[#This Row],[confidence]]</f>
        <v>0.93</v>
      </c>
      <c r="K106" s="1">
        <f>judgement[[#This Row],[accuracy_1]]^2</f>
        <v>8100</v>
      </c>
      <c r="L106" s="1">
        <f>judgement[[#This Row],[completeness_1]]^2</f>
        <v>6400</v>
      </c>
      <c r="M106" s="1">
        <f>judgement[[#This Row],[safety_1]]^2</f>
        <v>8100</v>
      </c>
    </row>
    <row r="107" spans="1:13" x14ac:dyDescent="0.2">
      <c r="A107">
        <v>105</v>
      </c>
      <c r="B107">
        <v>2</v>
      </c>
      <c r="C107">
        <v>0.62</v>
      </c>
      <c r="D107">
        <v>35</v>
      </c>
      <c r="E107">
        <v>45</v>
      </c>
      <c r="F107">
        <v>70</v>
      </c>
      <c r="G107">
        <v>55</v>
      </c>
      <c r="H107">
        <v>60</v>
      </c>
      <c r="I107">
        <v>75</v>
      </c>
      <c r="J107">
        <f>(judgement[[#This Row],[winner]]-1.5)*2*judgement[[#This Row],[confidence]]</f>
        <v>0.62</v>
      </c>
      <c r="K107" s="1">
        <f>judgement[[#This Row],[accuracy_1]]^2</f>
        <v>1225</v>
      </c>
      <c r="L107" s="1">
        <f>judgement[[#This Row],[completeness_1]]^2</f>
        <v>2025</v>
      </c>
      <c r="M107" s="1">
        <f>judgement[[#This Row],[safety_1]]^2</f>
        <v>4900</v>
      </c>
    </row>
    <row r="108" spans="1:13" x14ac:dyDescent="0.2">
      <c r="A108">
        <v>106</v>
      </c>
      <c r="B108">
        <v>1</v>
      </c>
      <c r="C108">
        <v>0.62</v>
      </c>
      <c r="D108">
        <v>76</v>
      </c>
      <c r="E108">
        <v>55</v>
      </c>
      <c r="F108">
        <v>72</v>
      </c>
      <c r="G108">
        <v>78</v>
      </c>
      <c r="H108">
        <v>72</v>
      </c>
      <c r="I108">
        <v>70</v>
      </c>
      <c r="J108">
        <f>(judgement[[#This Row],[winner]]-1.5)*2*judgement[[#This Row],[confidence]]</f>
        <v>-0.62</v>
      </c>
      <c r="K108" s="1">
        <f>judgement[[#This Row],[accuracy_1]]^2</f>
        <v>5776</v>
      </c>
      <c r="L108" s="1">
        <f>judgement[[#This Row],[completeness_1]]^2</f>
        <v>3025</v>
      </c>
      <c r="M108" s="1">
        <f>judgement[[#This Row],[safety_1]]^2</f>
        <v>5184</v>
      </c>
    </row>
    <row r="109" spans="1:13" x14ac:dyDescent="0.2">
      <c r="A109">
        <v>107</v>
      </c>
      <c r="B109">
        <v>1</v>
      </c>
      <c r="C109">
        <v>0.55000000000000004</v>
      </c>
      <c r="D109">
        <v>90</v>
      </c>
      <c r="E109">
        <v>76</v>
      </c>
      <c r="F109">
        <v>90</v>
      </c>
      <c r="G109">
        <v>90</v>
      </c>
      <c r="H109">
        <v>78</v>
      </c>
      <c r="I109">
        <v>88</v>
      </c>
      <c r="J109">
        <f>(judgement[[#This Row],[winner]]-1.5)*2*judgement[[#This Row],[confidence]]</f>
        <v>-0.55000000000000004</v>
      </c>
      <c r="K109" s="1">
        <f>judgement[[#This Row],[accuracy_1]]^2</f>
        <v>8100</v>
      </c>
      <c r="L109" s="1">
        <f>judgement[[#This Row],[completeness_1]]^2</f>
        <v>5776</v>
      </c>
      <c r="M109" s="1">
        <f>judgement[[#This Row],[safety_1]]^2</f>
        <v>8100</v>
      </c>
    </row>
    <row r="110" spans="1:13" x14ac:dyDescent="0.2">
      <c r="A110">
        <v>108</v>
      </c>
      <c r="B110">
        <v>1</v>
      </c>
      <c r="C110">
        <v>0.62</v>
      </c>
      <c r="D110">
        <v>70</v>
      </c>
      <c r="E110">
        <v>78</v>
      </c>
      <c r="F110">
        <v>82</v>
      </c>
      <c r="G110">
        <v>78</v>
      </c>
      <c r="H110">
        <v>72</v>
      </c>
      <c r="I110">
        <v>90</v>
      </c>
      <c r="J110">
        <f>(judgement[[#This Row],[winner]]-1.5)*2*judgement[[#This Row],[confidence]]</f>
        <v>-0.62</v>
      </c>
      <c r="K110" s="1">
        <f>judgement[[#This Row],[accuracy_1]]^2</f>
        <v>4900</v>
      </c>
      <c r="L110" s="1">
        <f>judgement[[#This Row],[completeness_1]]^2</f>
        <v>6084</v>
      </c>
      <c r="M110" s="1">
        <f>judgement[[#This Row],[safety_1]]^2</f>
        <v>6724</v>
      </c>
    </row>
    <row r="111" spans="1:13" x14ac:dyDescent="0.2">
      <c r="D111" s="1">
        <f>SUBTOTAL(101,judgement[accuracy_1])</f>
        <v>54.192660550458719</v>
      </c>
      <c r="E111" s="1">
        <f>SUBTOTAL(101,judgement[completeness_1])</f>
        <v>52.458715596330272</v>
      </c>
      <c r="F111" s="1">
        <f>SUBTOTAL(101,judgement[safety_1])</f>
        <v>71.201834862385326</v>
      </c>
      <c r="G111" s="1">
        <f>SUBTOTAL(101,judgement[accuracy_2])</f>
        <v>55.165137614678898</v>
      </c>
      <c r="H111" s="1">
        <f>SUBTOTAL(101,judgement[completeness_2])</f>
        <v>52.990825688073393</v>
      </c>
      <c r="I111" s="1">
        <f>SUBTOTAL(101,judgement[safety_2])</f>
        <v>71.944954128440372</v>
      </c>
      <c r="J111" s="1">
        <f>SUBTOTAL(109,judgement[Improvement])/109</f>
        <v>-6.0550458715596164E-3</v>
      </c>
      <c r="K111" s="1">
        <f>SUBTOTAL(109,judgement[Column1])</f>
        <v>379231</v>
      </c>
      <c r="L111" s="1">
        <f>SUBTOTAL(109,judgement[Column2])</f>
        <v>328476</v>
      </c>
      <c r="M111" s="1">
        <f>SUBTOTAL(109,judgement[Column3])</f>
        <v>583947</v>
      </c>
    </row>
    <row r="112" spans="1:13" x14ac:dyDescent="0.2">
      <c r="F112" t="s">
        <v>11</v>
      </c>
      <c r="G112" s="1">
        <f>judgement[[#Totals],[accuracy_2]]-judgement[[#Totals],[accuracy_1]]</f>
        <v>0.97247706422017899</v>
      </c>
      <c r="H112" s="1">
        <f>judgement[[#Totals],[completeness_2]]-judgement[[#Totals],[completeness_1]]</f>
        <v>0.53211009174312096</v>
      </c>
      <c r="I112" s="1">
        <f>judgement[[#Totals],[safety_2]]-judgement[[#Totals],[safety_1]]</f>
        <v>0.74311926605504652</v>
      </c>
      <c r="K112" s="1">
        <f>109*judgement[[#Totals],[accuracy_1]]^2</f>
        <v>320116.04587155965</v>
      </c>
      <c r="L112" s="1">
        <f>109*judgement[[#Totals],[completeness_1]]^2</f>
        <v>299958.93577981647</v>
      </c>
      <c r="M112" s="1">
        <f>109*judgement[[#Totals],[safety_1]]^2</f>
        <v>552597.44036697247</v>
      </c>
    </row>
    <row r="113" spans="6:13" x14ac:dyDescent="0.2">
      <c r="F113" t="s">
        <v>12</v>
      </c>
      <c r="K113" s="1">
        <f>judgement[[#Totals],[Column1]]-K112</f>
        <v>59114.954128440353</v>
      </c>
      <c r="L113" s="1">
        <f>judgement[[#Totals],[Column2]]-L112</f>
        <v>28517.064220183529</v>
      </c>
      <c r="M113" s="1">
        <f>judgement[[#Totals],[Column3]]-M112</f>
        <v>31349.559633027529</v>
      </c>
    </row>
    <row r="114" spans="6:13" x14ac:dyDescent="0.2">
      <c r="K114">
        <f>SQRT(K113/108)</f>
        <v>23.395740774218876</v>
      </c>
      <c r="L114">
        <f t="shared" ref="L114:M114" si="0">SQRT(L113/108)</f>
        <v>16.249519713752321</v>
      </c>
      <c r="M114">
        <f t="shared" si="0"/>
        <v>17.037420588393374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E7AB-8720-D54A-A7DB-CACE99526A43}">
  <dimension ref="A1"/>
  <sheetViews>
    <sheetView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0C57D-9D97-0246-8EAC-C7C781E12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judgement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Zhou</dc:creator>
  <cp:lastModifiedBy>Miles Zhou</cp:lastModifiedBy>
  <dcterms:created xsi:type="dcterms:W3CDTF">2026-02-26T02:32:21Z</dcterms:created>
  <dcterms:modified xsi:type="dcterms:W3CDTF">2026-02-26T03:28:43Z</dcterms:modified>
</cp:coreProperties>
</file>